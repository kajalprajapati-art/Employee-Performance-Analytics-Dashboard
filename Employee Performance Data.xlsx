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E:\Kajal\Power BI\Power BI satish\Excel dashboard\"/>
    </mc:Choice>
  </mc:AlternateContent>
  <xr:revisionPtr revIDLastSave="0" documentId="13_ncr:1_{814F0AD8-8C07-4287-AA91-F13E7CCB1163}" xr6:coauthVersionLast="47" xr6:coauthVersionMax="47" xr10:uidLastSave="{00000000-0000-0000-0000-000000000000}"/>
  <bookViews>
    <workbookView xWindow="-108" yWindow="-108" windowWidth="23256" windowHeight="13896" xr2:uid="{2441546F-0E30-42C6-A918-FFE81DA238D1}"/>
  </bookViews>
  <sheets>
    <sheet name="Dashboard" sheetId="5" r:id="rId1"/>
    <sheet name="Pivot table" sheetId="4" r:id="rId2"/>
    <sheet name="Data" sheetId="1" r:id="rId3"/>
  </sheets>
  <definedNames>
    <definedName name="_xlnm._FilterDatabase" localSheetId="2" hidden="1">Data!$A$1:$R$90</definedName>
    <definedName name="Slicer_Department">#N/A</definedName>
    <definedName name="Slic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4" l="1"/>
  <c r="A13" i="4"/>
  <c r="B7" i="4"/>
  <c r="B10" i="4"/>
  <c r="B8" i="4"/>
  <c r="B9" i="4"/>
  <c r="B6" i="4"/>
  <c r="B13" i="4" l="1"/>
</calcChain>
</file>

<file path=xl/sharedStrings.xml><?xml version="1.0" encoding="utf-8"?>
<sst xmlns="http://schemas.openxmlformats.org/spreadsheetml/2006/main" count="719" uniqueCount="101">
  <si>
    <t>Date</t>
  </si>
  <si>
    <t>Month</t>
  </si>
  <si>
    <t>Emp ID</t>
  </si>
  <si>
    <t>Employee Name</t>
  </si>
  <si>
    <t>Department</t>
  </si>
  <si>
    <t>Region</t>
  </si>
  <si>
    <t>Working Days</t>
  </si>
  <si>
    <t>Attendance Status</t>
  </si>
  <si>
    <t>Target Tasks</t>
  </si>
  <si>
    <t>Completed Tasks</t>
  </si>
  <si>
    <t>Pending Tasks</t>
  </si>
  <si>
    <t>Target Hours</t>
  </si>
  <si>
    <t>Actual Hours</t>
  </si>
  <si>
    <t>Overtime Hours</t>
  </si>
  <si>
    <t>Productivity %</t>
  </si>
  <si>
    <t>Quality Score %</t>
  </si>
  <si>
    <t>Achievement %</t>
  </si>
  <si>
    <t>Performance Status</t>
  </si>
  <si>
    <t>Jan</t>
  </si>
  <si>
    <t>EMP001</t>
  </si>
  <si>
    <t>James Smith</t>
  </si>
  <si>
    <t>Sales</t>
  </si>
  <si>
    <t>California</t>
  </si>
  <si>
    <t>Present</t>
  </si>
  <si>
    <t>High Performer</t>
  </si>
  <si>
    <t>EMP002</t>
  </si>
  <si>
    <t>Mary Johnson</t>
  </si>
  <si>
    <t>Texas</t>
  </si>
  <si>
    <t>Leave</t>
  </si>
  <si>
    <t>EMP003</t>
  </si>
  <si>
    <t>Robert Williams</t>
  </si>
  <si>
    <t>Marketing</t>
  </si>
  <si>
    <t>Florida</t>
  </si>
  <si>
    <t>EMP004</t>
  </si>
  <si>
    <t>Jennifer Brown</t>
  </si>
  <si>
    <t>EMP005</t>
  </si>
  <si>
    <t>Michael Jones</t>
  </si>
  <si>
    <t>Finance</t>
  </si>
  <si>
    <t>New York</t>
  </si>
  <si>
    <t>EMP006</t>
  </si>
  <si>
    <t>Linda Garcia</t>
  </si>
  <si>
    <t>EMP007</t>
  </si>
  <si>
    <t>David Miller</t>
  </si>
  <si>
    <t>HR</t>
  </si>
  <si>
    <t>EMP008</t>
  </si>
  <si>
    <t>Sarah Davis</t>
  </si>
  <si>
    <t>Work From Home</t>
  </si>
  <si>
    <t>EMP009</t>
  </si>
  <si>
    <t>John Rodriguez</t>
  </si>
  <si>
    <t>Operations</t>
  </si>
  <si>
    <t>On Track</t>
  </si>
  <si>
    <t>EMP010</t>
  </si>
  <si>
    <t>Emily Martinez</t>
  </si>
  <si>
    <t>EMP012</t>
  </si>
  <si>
    <t>Jessica Lopez</t>
  </si>
  <si>
    <t>IT</t>
  </si>
  <si>
    <t>EMP013</t>
  </si>
  <si>
    <t>Christopher Wilson</t>
  </si>
  <si>
    <t>EMP014</t>
  </si>
  <si>
    <t>Amanda Anderson</t>
  </si>
  <si>
    <t>EMP015</t>
  </si>
  <si>
    <t>Matthew Taylor</t>
  </si>
  <si>
    <t>EMP016</t>
  </si>
  <si>
    <t>Ashley Thomas</t>
  </si>
  <si>
    <t>Feb</t>
  </si>
  <si>
    <t>EMP017</t>
  </si>
  <si>
    <t>Andrew Moore</t>
  </si>
  <si>
    <t>EMP018</t>
  </si>
  <si>
    <t>Olivia Jackson</t>
  </si>
  <si>
    <t>EMP020</t>
  </si>
  <si>
    <t>Sophia Lee</t>
  </si>
  <si>
    <t>Mar</t>
  </si>
  <si>
    <t>EMP011</t>
  </si>
  <si>
    <t>Daniel Hernandez</t>
  </si>
  <si>
    <t>Needs Improvement</t>
  </si>
  <si>
    <t>Apr</t>
  </si>
  <si>
    <t>EMP019</t>
  </si>
  <si>
    <t>Joshua Martin</t>
  </si>
  <si>
    <t>May</t>
  </si>
  <si>
    <t>Jun</t>
  </si>
  <si>
    <t>Jul</t>
  </si>
  <si>
    <t>Grand Total</t>
  </si>
  <si>
    <t>Average of Achievement %</t>
  </si>
  <si>
    <t>Average of Productivity %</t>
  </si>
  <si>
    <t>Average of Quality Score %</t>
  </si>
  <si>
    <t>Regions</t>
  </si>
  <si>
    <t>Sum of Completed Tasks</t>
  </si>
  <si>
    <t>Sum of Pending Tasks</t>
  </si>
  <si>
    <t>Count of Emp ID</t>
  </si>
  <si>
    <t>KPI</t>
  </si>
  <si>
    <t>Values</t>
  </si>
  <si>
    <t>Total Employee</t>
  </si>
  <si>
    <t>Avg Productivity %</t>
  </si>
  <si>
    <t>Avg Achievement %</t>
  </si>
  <si>
    <t>Total completed tasks</t>
  </si>
  <si>
    <t>Avg Quality Score %</t>
  </si>
  <si>
    <t>Value of completion</t>
  </si>
  <si>
    <t>Sum of  completion%</t>
  </si>
  <si>
    <t>Total Task</t>
  </si>
  <si>
    <t>Sum of Target Tasks</t>
  </si>
  <si>
    <t>EMPLOYEE PERMORMANCE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</si>
</sst>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b/>
      <sz val="11"/>
      <color rgb="FFFFFFFF"/>
      <name val="Calibri"/>
    </font>
    <font>
      <b/>
      <sz val="11"/>
      <color rgb="FFFFFFFF"/>
      <name val="Calibri"/>
      <family val="2"/>
    </font>
    <font>
      <sz val="11"/>
      <color rgb="FF000000"/>
      <name val="Calibri"/>
      <family val="2"/>
    </font>
    <font>
      <sz val="11"/>
      <color theme="1"/>
      <name val="Cambria"/>
      <family val="1"/>
    </font>
    <font>
      <b/>
      <sz val="14"/>
      <color theme="4" tint="-0.499984740745262"/>
      <name val="Cambria"/>
      <family val="1"/>
    </font>
    <font>
      <b/>
      <sz val="14"/>
      <color theme="1"/>
      <name val="Cambria"/>
      <family val="1"/>
    </font>
  </fonts>
  <fills count="4">
    <fill>
      <patternFill patternType="none"/>
    </fill>
    <fill>
      <patternFill patternType="gray125"/>
    </fill>
    <fill>
      <patternFill patternType="solid">
        <fgColor rgb="FF1F4E78"/>
        <bgColor rgb="FF000000"/>
      </patternFill>
    </fill>
    <fill>
      <patternFill patternType="solid">
        <fgColor theme="5" tint="0.79998168889431442"/>
        <bgColor indexed="64"/>
      </patternFill>
    </fill>
  </fills>
  <borders count="3">
    <border>
      <left/>
      <right/>
      <top/>
      <bottom/>
      <diagonal/>
    </border>
    <border>
      <left/>
      <right/>
      <top/>
      <bottom style="thin">
        <color rgb="FFD9E2F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15" fontId="3" fillId="0" borderId="1" xfId="0" applyNumberFormat="1" applyFont="1" applyBorder="1"/>
    <xf numFmtId="0" fontId="3" fillId="0" borderId="1" xfId="0" applyFont="1" applyBorder="1"/>
    <xf numFmtId="10" fontId="3" fillId="0" borderId="1" xfId="0" applyNumberFormat="1" applyFont="1" applyBorder="1"/>
    <xf numFmtId="15" fontId="3" fillId="0" borderId="0" xfId="0" applyNumberFormat="1" applyFont="1"/>
    <xf numFmtId="0" fontId="3" fillId="0" borderId="0" xfId="0" applyFont="1"/>
    <xf numFmtId="10" fontId="3" fillId="0" borderId="0" xfId="0" applyNumberFormat="1" applyFont="1"/>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0" fillId="0" borderId="0" xfId="0" pivotButton="1"/>
    <xf numFmtId="0" fontId="0" fillId="0" borderId="0" xfId="0" applyAlignment="1">
      <alignment horizontal="left"/>
    </xf>
    <xf numFmtId="10" fontId="0" fillId="0" borderId="0" xfId="0" applyNumberFormat="1"/>
    <xf numFmtId="0" fontId="0" fillId="0" borderId="2" xfId="0" applyBorder="1" applyAlignment="1">
      <alignment horizontal="center" vertical="center"/>
    </xf>
    <xf numFmtId="0" fontId="0" fillId="0" borderId="2" xfId="0" applyBorder="1" applyAlignment="1">
      <alignment vertical="top"/>
    </xf>
    <xf numFmtId="0" fontId="0" fillId="0" borderId="2" xfId="0" applyBorder="1" applyAlignment="1">
      <alignment vertical="center"/>
    </xf>
    <xf numFmtId="10" fontId="0" fillId="0" borderId="2" xfId="0" applyNumberFormat="1" applyBorder="1" applyAlignment="1">
      <alignment vertical="center"/>
    </xf>
    <xf numFmtId="0" fontId="0" fillId="0" borderId="0" xfId="0" applyAlignment="1">
      <alignment horizontal="center"/>
    </xf>
    <xf numFmtId="10" fontId="0" fillId="0" borderId="0" xfId="0" applyNumberFormat="1" applyAlignment="1">
      <alignment horizontal="center"/>
    </xf>
    <xf numFmtId="0" fontId="4" fillId="0" borderId="0" xfId="0" applyFont="1"/>
    <xf numFmtId="0" fontId="0" fillId="0" borderId="0" xfId="0" applyAlignment="1">
      <alignment wrapText="1"/>
    </xf>
    <xf numFmtId="1" fontId="0" fillId="0" borderId="2" xfId="0" applyNumberFormat="1" applyBorder="1" applyAlignment="1">
      <alignment vertical="center"/>
    </xf>
    <xf numFmtId="0" fontId="0" fillId="0" borderId="0" xfId="0" applyNumberFormat="1"/>
    <xf numFmtId="0" fontId="5" fillId="3" borderId="0" xfId="0" applyFont="1" applyFill="1" applyAlignment="1">
      <alignment horizontal="center" vertical="center"/>
    </xf>
    <xf numFmtId="0" fontId="6" fillId="3" borderId="0" xfId="0" applyFont="1" applyFill="1" applyAlignment="1">
      <alignment horizontal="center" vertical="center"/>
    </xf>
    <xf numFmtId="0" fontId="0" fillId="0" borderId="0" xfId="0" applyAlignment="1">
      <alignment horizontal="center" wrapText="1"/>
    </xf>
  </cellXfs>
  <cellStyles count="1">
    <cellStyle name="Normal" xfId="0" builtinId="0"/>
  </cellStyles>
  <dxfs count="42">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64" formatCode="dd\-mmm\-yy"/>
      <border diagonalUp="0" diagonalDown="0">
        <left/>
        <right/>
        <top/>
        <bottom style="thin">
          <color rgb="FFD9E2F3"/>
        </bottom>
        <vertical/>
        <horizontal/>
      </border>
    </dxf>
    <dxf>
      <border outline="0">
        <top style="thin">
          <color indexed="64"/>
        </top>
        <bottom style="thin">
          <color rgb="FFD9E2F3"/>
        </bottom>
      </border>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FFFFFF"/>
        <name val="Calibri"/>
        <scheme val="none"/>
      </font>
      <fill>
        <patternFill patternType="solid">
          <fgColor rgb="FF000000"/>
          <bgColor rgb="FF1F4E78"/>
        </patternFill>
      </fill>
      <alignment horizontal="left" vertical="center" textRotation="0" wrapText="1" indent="0" justifyLastLine="0" shrinkToFit="0" readingOrder="0"/>
      <border diagonalUp="0" diagonalDown="0" outline="0">
        <left style="thin">
          <color indexed="64"/>
        </left>
        <right style="thin">
          <color indexed="64"/>
        </right>
        <top/>
        <bottom/>
      </border>
    </dxf>
    <dxf>
      <alignment wrapText="1"/>
    </dxf>
    <dxf>
      <alignment wrapText="1"/>
    </dxf>
    <dxf>
      <font>
        <color theme="0"/>
      </font>
    </dxf>
    <dxf>
      <font>
        <b/>
        <i val="0"/>
        <color theme="1"/>
        <name val="Cambria"/>
        <family val="1"/>
        <scheme val="none"/>
      </font>
      <fill>
        <gradientFill degree="90">
          <stop position="0">
            <color rgb="FF00FFFF"/>
          </stop>
          <stop position="1">
            <color theme="4"/>
          </stop>
        </gradientFill>
      </fill>
    </dxf>
  </dxfs>
  <tableStyles count="4" defaultTableStyle="TableStyleMedium2" defaultPivotStyle="PivotStyleLight16">
    <tableStyle name="Slicer Style 1" pivot="0" table="0" count="1" xr9:uid="{7D97879C-6D46-4E4B-B56F-15896F06D926}"/>
    <tableStyle name="Slicer Style 2" pivot="0" table="0" count="1" xr9:uid="{7DC77B9E-AA97-40B4-B80C-0F7395CB79E9}"/>
    <tableStyle name="Slicer Style 3" pivot="0" table="0" count="1" xr9:uid="{A3F496FC-A2A9-4D62-8D92-9B0ABDAFF9DF}">
      <tableStyleElement type="wholeTable" dxfId="41"/>
    </tableStyle>
    <tableStyle name="Slicer Style 4" pivot="0" table="0" count="1" xr9:uid="{94FA12F3-CD69-4820-89FE-9B1F965525AF}">
      <tableStyleElement type="wholeTable" dxfId="40"/>
    </tableStyle>
  </tableStyles>
  <colors>
    <mruColors>
      <color rgb="FFFF6600"/>
      <color rgb="FF00FFFF"/>
      <color rgb="FF51F236"/>
      <color rgb="FFFA5F2E"/>
      <color rgb="FFDCE6FC"/>
      <color rgb="FF3870EC"/>
      <color rgb="FF7543F3"/>
      <color rgb="FF66FFFF"/>
      <color rgb="FFFD31E5"/>
      <color rgb="FF76FAFA"/>
    </mruColors>
  </colors>
  <extLst>
    <ext xmlns:x14="http://schemas.microsoft.com/office/spreadsheetml/2009/9/main" uri="{46F421CA-312F-682f-3DD2-61675219B42D}">
      <x14:dxfs count="2">
        <dxf>
          <fill>
            <patternFill>
              <fgColor rgb="FF66FFFF"/>
              <bgColor rgb="FF00FFFF"/>
            </patternFill>
          </fill>
        </dxf>
        <dxf>
          <fill>
            <patternFill>
              <bgColor rgb="FF66FFFF"/>
            </patternFill>
          </fill>
        </dxf>
      </x14:dxfs>
    </ext>
    <ext xmlns:x14="http://schemas.microsoft.com/office/spreadsheetml/2009/9/main" uri="{EB79DEF2-80B8-43e5-95BD-54CBDDF9020C}">
      <x14:slicerStyles defaultSlicerStyle="Slicer Style 2">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lgn="ctr">
              <a:defRPr sz="1400" b="1" i="0" u="none" strike="noStrike" kern="1200" baseline="0">
                <a:solidFill>
                  <a:schemeClr val="bg1"/>
                </a:solidFill>
                <a:latin typeface="+mn-lt"/>
                <a:ea typeface="+mn-ea"/>
                <a:cs typeface="+mn-cs"/>
              </a:defRPr>
            </a:pPr>
            <a:r>
              <a:rPr lang="en-US" sz="1400" i="1">
                <a:solidFill>
                  <a:schemeClr val="bg1"/>
                </a:solidFill>
                <a:latin typeface="Cambria" panose="02040503050406030204" pitchFamily="18" charset="0"/>
                <a:ea typeface="Cambria" panose="02040503050406030204" pitchFamily="18" charset="0"/>
              </a:rPr>
              <a:t>Completion task</a:t>
            </a:r>
          </a:p>
        </c:rich>
      </c:tx>
      <c:layout>
        <c:manualLayout>
          <c:xMode val="edge"/>
          <c:yMode val="edge"/>
          <c:x val="0.20462268261016686"/>
          <c:y val="1.8921092488981817E-2"/>
        </c:manualLayout>
      </c:layout>
      <c:overlay val="0"/>
      <c:spPr>
        <a:noFill/>
        <a:ln>
          <a:noFill/>
        </a:ln>
        <a:effectLst/>
      </c:spPr>
      <c:txPr>
        <a:bodyPr rot="0" spcFirstLastPara="1" vertOverflow="ellipsis" vert="horz" wrap="square" anchor="ctr" anchorCtr="1"/>
        <a:lstStyle/>
        <a:p>
          <a:pPr algn="ctr">
            <a:defRPr sz="1400" b="1" i="0" u="none" strike="noStrike" kern="1200" baseline="0">
              <a:solidFill>
                <a:schemeClr val="bg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innerShdw blurRad="63500" dist="50800" dir="2700000">
            <a:prstClr val="black">
              <a:alpha val="50000"/>
            </a:prstClr>
          </a:innerShdw>
        </a:effectLst>
        <a:sp3d/>
      </c:spPr>
    </c:sideWall>
    <c:backWall>
      <c:thickness val="0"/>
      <c:spPr>
        <a:noFill/>
        <a:ln>
          <a:noFill/>
        </a:ln>
        <a:effectLst>
          <a:innerShdw blurRad="63500" dist="50800" dir="2700000">
            <a:prstClr val="black">
              <a:alpha val="50000"/>
            </a:prstClr>
          </a:innerShdw>
        </a:effectLst>
        <a:sp3d/>
      </c:spPr>
    </c:backWall>
    <c:plotArea>
      <c:layout/>
      <c:bar3DChart>
        <c:barDir val="col"/>
        <c:grouping val="stacked"/>
        <c:varyColors val="0"/>
        <c:ser>
          <c:idx val="0"/>
          <c:order val="0"/>
          <c:spPr>
            <a:solidFill>
              <a:srgbClr val="00FFFF"/>
            </a:solidFill>
            <a:ln>
              <a:noFill/>
            </a:ln>
            <a:effectLst>
              <a:outerShdw blurRad="57150" dist="19050" dir="5400000" algn="ctr" rotWithShape="0">
                <a:srgbClr val="000000">
                  <a:alpha val="63000"/>
                </a:srgbClr>
              </a:outerShdw>
            </a:effectLst>
            <a:sp3d/>
          </c:spPr>
          <c:invertIfNegative val="0"/>
          <c:dLbls>
            <c:dLbl>
              <c:idx val="0"/>
              <c:layout>
                <c:manualLayout>
                  <c:x val="0.42727267237657257"/>
                  <c:y val="-3.3691750329539145E-2"/>
                </c:manualLayout>
              </c:layout>
              <c:spPr>
                <a:noFill/>
                <a:ln>
                  <a:noFill/>
                </a:ln>
                <a:effectLst/>
              </c:spPr>
              <c:txPr>
                <a:bodyPr rot="0" spcFirstLastPara="1" vertOverflow="ellipsis" vert="horz" wrap="square" lIns="38100" tIns="19050" rIns="38100" bIns="19050" anchor="ctr" anchorCtr="0">
                  <a:noAutofit/>
                </a:bodyPr>
                <a:lstStyle/>
                <a:p>
                  <a:pPr algn="r">
                    <a:defRPr sz="14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738944982956112"/>
                      <c:h val="0.11720517645888429"/>
                    </c:manualLayout>
                  </c15:layout>
                </c:ext>
                <c:ext xmlns:c16="http://schemas.microsoft.com/office/drawing/2014/chart" uri="{C3380CC4-5D6E-409C-BE32-E72D297353CC}">
                  <c16:uniqueId val="{00000001-B1EE-4009-8AA3-07D66255E6D5}"/>
                </c:ext>
              </c:extLst>
            </c:dLbl>
            <c:spPr>
              <a:noFill/>
              <a:ln>
                <a:noFill/>
              </a:ln>
              <a:effectLst/>
            </c:spPr>
            <c:txPr>
              <a:bodyPr rot="0" spcFirstLastPara="1" vertOverflow="ellipsis" vert="horz" wrap="square" lIns="38100" tIns="19050" rIns="38100" bIns="19050" anchor="ctr" anchorCtr="0">
                <a:spAutoFit/>
              </a:bodyPr>
              <a:lstStyle/>
              <a:p>
                <a:pPr algn="r">
                  <a:defRPr sz="1400" b="1" i="0" u="none" strike="noStrike" kern="1200" baseline="0">
                    <a:solidFill>
                      <a:schemeClr val="bg2">
                        <a:lumMod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table'!$A$13</c:f>
              <c:numCache>
                <c:formatCode>0.00%</c:formatCode>
                <c:ptCount val="1"/>
                <c:pt idx="0">
                  <c:v>0.40586206896551724</c:v>
                </c:pt>
              </c:numCache>
            </c:numRef>
          </c:val>
          <c:extLst>
            <c:ext xmlns:c16="http://schemas.microsoft.com/office/drawing/2014/chart" uri="{C3380CC4-5D6E-409C-BE32-E72D297353CC}">
              <c16:uniqueId val="{00000002-B1EE-4009-8AA3-07D66255E6D5}"/>
            </c:ext>
          </c:extLst>
        </c:ser>
        <c:ser>
          <c:idx val="1"/>
          <c:order val="1"/>
          <c:spPr>
            <a:solidFill>
              <a:srgbClr val="51F236">
                <a:alpha val="15000"/>
              </a:srgbClr>
            </a:solidFill>
            <a:ln>
              <a:noFill/>
            </a:ln>
            <a:effectLst>
              <a:outerShdw blurRad="57150" dist="19050" dir="5400000" algn="ctr" rotWithShape="0">
                <a:srgbClr val="000000">
                  <a:alpha val="63000"/>
                </a:srgbClr>
              </a:outerShdw>
            </a:effectLst>
            <a:sp3d/>
          </c:spPr>
          <c:invertIfNegative val="0"/>
          <c:dLbls>
            <c:dLbl>
              <c:idx val="0"/>
              <c:layout>
                <c:manualLayout>
                  <c:x val="-4.9300668082281653E-2"/>
                  <c:y val="-7.5806438241463076E-2"/>
                </c:manualLayout>
              </c:layout>
              <c:showLegendKey val="0"/>
              <c:showVal val="1"/>
              <c:showCatName val="0"/>
              <c:showSerName val="0"/>
              <c:showPercent val="0"/>
              <c:showBubbleSize val="0"/>
              <c:extLst>
                <c:ext xmlns:c15="http://schemas.microsoft.com/office/drawing/2012/chart" uri="{CE6537A1-D6FC-4f65-9D91-7224C49458BB}">
                  <c15:layout>
                    <c:manualLayout>
                      <c:w val="0.29602312257405561"/>
                      <c:h val="0.1311030234698192"/>
                    </c:manualLayout>
                  </c15:layout>
                </c:ext>
                <c:ext xmlns:c16="http://schemas.microsoft.com/office/drawing/2014/chart" uri="{C3380CC4-5D6E-409C-BE32-E72D297353CC}">
                  <c16:uniqueId val="{00000002-4B6A-4C0E-B09D-76F7B5C9BA3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table'!$B$13</c:f>
              <c:numCache>
                <c:formatCode>0.00%</c:formatCode>
                <c:ptCount val="1"/>
                <c:pt idx="0">
                  <c:v>0.59413793103448276</c:v>
                </c:pt>
              </c:numCache>
            </c:numRef>
          </c:val>
          <c:extLst>
            <c:ext xmlns:c16="http://schemas.microsoft.com/office/drawing/2014/chart" uri="{C3380CC4-5D6E-409C-BE32-E72D297353CC}">
              <c16:uniqueId val="{00000004-B1EE-4009-8AA3-07D66255E6D5}"/>
            </c:ext>
          </c:extLst>
        </c:ser>
        <c:dLbls>
          <c:showLegendKey val="0"/>
          <c:showVal val="1"/>
          <c:showCatName val="0"/>
          <c:showSerName val="0"/>
          <c:showPercent val="0"/>
          <c:showBubbleSize val="0"/>
        </c:dLbls>
        <c:gapWidth val="0"/>
        <c:gapDepth val="0"/>
        <c:shape val="pyramid"/>
        <c:axId val="1423504464"/>
        <c:axId val="1026035568"/>
        <c:axId val="0"/>
      </c:bar3DChart>
      <c:catAx>
        <c:axId val="1423504464"/>
        <c:scaling>
          <c:orientation val="minMax"/>
        </c:scaling>
        <c:delete val="1"/>
        <c:axPos val="b"/>
        <c:majorTickMark val="none"/>
        <c:minorTickMark val="none"/>
        <c:tickLblPos val="nextTo"/>
        <c:crossAx val="1026035568"/>
        <c:crosses val="autoZero"/>
        <c:auto val="1"/>
        <c:lblAlgn val="ctr"/>
        <c:lblOffset val="100"/>
        <c:noMultiLvlLbl val="0"/>
      </c:catAx>
      <c:valAx>
        <c:axId val="1026035568"/>
        <c:scaling>
          <c:orientation val="minMax"/>
        </c:scaling>
        <c:delete val="1"/>
        <c:axPos val="l"/>
        <c:numFmt formatCode="0.00%" sourceLinked="1"/>
        <c:majorTickMark val="none"/>
        <c:minorTickMark val="none"/>
        <c:tickLblPos val="nextTo"/>
        <c:crossAx val="142350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Performance Data.xlsx]Pivot table!PivotTable4</c:name>
    <c:fmtId val="11"/>
  </c:pivotSource>
  <c:chart>
    <c:title>
      <c:tx>
        <c:rich>
          <a:bodyPr rot="0" spcFirstLastPara="1" vertOverflow="ellipsis" vert="horz" wrap="square" anchor="ctr" anchorCtr="1"/>
          <a:lstStyle/>
          <a:p>
            <a:pPr algn="ctr">
              <a:defRPr sz="1400" b="1" i="1" u="none" strike="noStrike" kern="1200" spc="0" baseline="0">
                <a:solidFill>
                  <a:schemeClr val="tx1">
                    <a:lumMod val="65000"/>
                    <a:lumOff val="35000"/>
                  </a:schemeClr>
                </a:solidFill>
                <a:latin typeface="+mn-lt"/>
                <a:ea typeface="+mn-ea"/>
                <a:cs typeface="+mn-cs"/>
              </a:defRPr>
            </a:pPr>
            <a:r>
              <a:rPr lang="en-US" sz="1400" b="1" i="1">
                <a:solidFill>
                  <a:schemeClr val="bg1"/>
                </a:solidFill>
                <a:latin typeface="Cambria" panose="02040503050406030204" pitchFamily="18" charset="0"/>
                <a:ea typeface="Cambria" panose="02040503050406030204" pitchFamily="18" charset="0"/>
              </a:rPr>
              <a:t>Avg Productivity by Dept</a:t>
            </a:r>
          </a:p>
        </c:rich>
      </c:tx>
      <c:layout>
        <c:manualLayout>
          <c:xMode val="edge"/>
          <c:yMode val="edge"/>
          <c:x val="0.21724669292917231"/>
          <c:y val="3.7045683508346999E-2"/>
        </c:manualLayout>
      </c:layout>
      <c:overlay val="0"/>
      <c:spPr>
        <a:noFill/>
        <a:ln>
          <a:noFill/>
        </a:ln>
        <a:effectLst/>
      </c:spPr>
      <c:txPr>
        <a:bodyPr rot="0" spcFirstLastPara="1" vertOverflow="ellipsis" vert="horz" wrap="square" anchor="ctr" anchorCtr="1"/>
        <a:lstStyle/>
        <a:p>
          <a:pPr algn="ct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4000">
                <a:srgbClr val="00FFFB"/>
              </a:gs>
              <a:gs pos="100000">
                <a:srgbClr val="00FF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table'!$H$3</c:f>
              <c:strCache>
                <c:ptCount val="1"/>
                <c:pt idx="0">
                  <c:v>Total</c:v>
                </c:pt>
              </c:strCache>
            </c:strRef>
          </c:tx>
          <c:spPr>
            <a:gradFill>
              <a:gsLst>
                <a:gs pos="44000">
                  <a:srgbClr val="00FFFB"/>
                </a:gs>
                <a:gs pos="100000">
                  <a:srgbClr val="00FF00"/>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table'!$G$4:$G$10</c:f>
              <c:strCache>
                <c:ptCount val="6"/>
                <c:pt idx="0">
                  <c:v>Finance</c:v>
                </c:pt>
                <c:pt idx="1">
                  <c:v>HR</c:v>
                </c:pt>
                <c:pt idx="2">
                  <c:v>IT</c:v>
                </c:pt>
                <c:pt idx="3">
                  <c:v>Marketing</c:v>
                </c:pt>
                <c:pt idx="4">
                  <c:v>Operations</c:v>
                </c:pt>
                <c:pt idx="5">
                  <c:v>Sales</c:v>
                </c:pt>
              </c:strCache>
            </c:strRef>
          </c:cat>
          <c:val>
            <c:numRef>
              <c:f>'Pivot table'!$H$4:$H$10</c:f>
              <c:numCache>
                <c:formatCode>0.00%</c:formatCode>
                <c:ptCount val="6"/>
                <c:pt idx="0">
                  <c:v>0.92964285714285733</c:v>
                </c:pt>
                <c:pt idx="1">
                  <c:v>0.91899999999999993</c:v>
                </c:pt>
                <c:pt idx="2">
                  <c:v>0.91823076923076929</c:v>
                </c:pt>
                <c:pt idx="3">
                  <c:v>0.89044444444444459</c:v>
                </c:pt>
                <c:pt idx="4">
                  <c:v>0.90399999999999991</c:v>
                </c:pt>
                <c:pt idx="5">
                  <c:v>0.95035294117647051</c:v>
                </c:pt>
              </c:numCache>
            </c:numRef>
          </c:val>
          <c:extLst>
            <c:ext xmlns:c16="http://schemas.microsoft.com/office/drawing/2014/chart" uri="{C3380CC4-5D6E-409C-BE32-E72D297353CC}">
              <c16:uniqueId val="{00000000-9DB4-4557-A9A0-78ABFAB4FEE5}"/>
            </c:ext>
          </c:extLst>
        </c:ser>
        <c:dLbls>
          <c:showLegendKey val="0"/>
          <c:showVal val="1"/>
          <c:showCatName val="0"/>
          <c:showSerName val="0"/>
          <c:showPercent val="0"/>
          <c:showBubbleSize val="0"/>
        </c:dLbls>
        <c:gapWidth val="150"/>
        <c:shape val="box"/>
        <c:axId val="431999423"/>
        <c:axId val="385155983"/>
        <c:axId val="0"/>
      </c:bar3DChart>
      <c:catAx>
        <c:axId val="4319994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bg1"/>
                </a:solidFill>
                <a:latin typeface="+mn-lt"/>
                <a:ea typeface="+mn-ea"/>
                <a:cs typeface="+mn-cs"/>
              </a:defRPr>
            </a:pPr>
            <a:endParaRPr lang="en-US"/>
          </a:p>
        </c:txPr>
        <c:crossAx val="385155983"/>
        <c:crosses val="autoZero"/>
        <c:auto val="1"/>
        <c:lblAlgn val="ctr"/>
        <c:lblOffset val="100"/>
        <c:noMultiLvlLbl val="0"/>
      </c:catAx>
      <c:valAx>
        <c:axId val="385155983"/>
        <c:scaling>
          <c:orientation val="minMax"/>
        </c:scaling>
        <c:delete val="1"/>
        <c:axPos val="l"/>
        <c:numFmt formatCode="0%" sourceLinked="0"/>
        <c:majorTickMark val="out"/>
        <c:minorTickMark val="none"/>
        <c:tickLblPos val="nextTo"/>
        <c:crossAx val="43199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Performance Data.xlsx]Pivot table!PivotTable3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00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FFF"/>
          </a:solidFill>
          <a:ln w="19050">
            <a:noFill/>
          </a:ln>
          <a:effectLst/>
        </c:spPr>
      </c:pivotFmt>
      <c:pivotFmt>
        <c:idx val="10"/>
        <c:spPr>
          <a:solidFill>
            <a:srgbClr val="07C5C1"/>
          </a:solidFill>
          <a:ln w="19050">
            <a:noFill/>
          </a:ln>
          <a:effectLst/>
        </c:spPr>
      </c:pivotFmt>
      <c:pivotFmt>
        <c:idx val="11"/>
        <c:spPr>
          <a:solidFill>
            <a:srgbClr val="51F236"/>
          </a:solidFill>
          <a:ln w="19050">
            <a:noFill/>
          </a:ln>
          <a:effectLst/>
        </c:spPr>
      </c:pivotFmt>
      <c:pivotFmt>
        <c:idx val="12"/>
        <c:spPr>
          <a:solidFill>
            <a:srgbClr val="FFFF00"/>
          </a:solidFill>
          <a:ln w="19050">
            <a:noFill/>
          </a:ln>
          <a:effectLst/>
        </c:spPr>
      </c:pivotFmt>
      <c:pivotFmt>
        <c:idx val="13"/>
        <c:spPr>
          <a:solidFill>
            <a:srgbClr val="66FF33"/>
          </a:solidFill>
          <a:ln w="19050">
            <a:noFill/>
          </a:ln>
          <a:effectLst/>
        </c:spPr>
      </c:pivotFmt>
      <c:pivotFmt>
        <c:idx val="14"/>
        <c:spPr>
          <a:solidFill>
            <a:srgbClr val="CCFFFF">
              <a:alpha val="40000"/>
            </a:srgbClr>
          </a:solidFill>
          <a:ln w="19050">
            <a:noFill/>
          </a:ln>
          <a:effectLst/>
        </c:spPr>
      </c:pivotFmt>
    </c:pivotFmts>
    <c:plotArea>
      <c:layout/>
      <c:doughnutChart>
        <c:varyColors val="1"/>
        <c:ser>
          <c:idx val="0"/>
          <c:order val="0"/>
          <c:tx>
            <c:strRef>
              <c:f>'Pivot table'!$E$3</c:f>
              <c:strCache>
                <c:ptCount val="1"/>
                <c:pt idx="0">
                  <c:v>Total</c:v>
                </c:pt>
              </c:strCache>
            </c:strRef>
          </c:tx>
          <c:spPr>
            <a:solidFill>
              <a:srgbClr val="00FFFF"/>
            </a:solidFill>
            <a:ln>
              <a:noFill/>
            </a:ln>
          </c:spPr>
          <c:dPt>
            <c:idx val="0"/>
            <c:bubble3D val="0"/>
            <c:spPr>
              <a:solidFill>
                <a:srgbClr val="00FFFF"/>
              </a:solidFill>
              <a:ln w="19050">
                <a:noFill/>
              </a:ln>
              <a:effectLst/>
            </c:spPr>
            <c:extLst>
              <c:ext xmlns:c16="http://schemas.microsoft.com/office/drawing/2014/chart" uri="{C3380CC4-5D6E-409C-BE32-E72D297353CC}">
                <c16:uniqueId val="{00000001-7190-497F-A5AD-CEDABFF2854B}"/>
              </c:ext>
            </c:extLst>
          </c:dPt>
          <c:dPt>
            <c:idx val="1"/>
            <c:bubble3D val="0"/>
            <c:spPr>
              <a:solidFill>
                <a:srgbClr val="07C5C1"/>
              </a:solidFill>
              <a:ln w="19050">
                <a:noFill/>
              </a:ln>
              <a:effectLst/>
            </c:spPr>
            <c:extLst>
              <c:ext xmlns:c16="http://schemas.microsoft.com/office/drawing/2014/chart" uri="{C3380CC4-5D6E-409C-BE32-E72D297353CC}">
                <c16:uniqueId val="{00000003-7190-497F-A5AD-CEDABFF2854B}"/>
              </c:ext>
            </c:extLst>
          </c:dPt>
          <c:dPt>
            <c:idx val="2"/>
            <c:bubble3D val="0"/>
            <c:spPr>
              <a:solidFill>
                <a:srgbClr val="51F236"/>
              </a:solidFill>
              <a:ln w="19050">
                <a:noFill/>
              </a:ln>
              <a:effectLst/>
            </c:spPr>
            <c:extLst>
              <c:ext xmlns:c16="http://schemas.microsoft.com/office/drawing/2014/chart" uri="{C3380CC4-5D6E-409C-BE32-E72D297353CC}">
                <c16:uniqueId val="{00000005-7190-497F-A5AD-CEDABFF2854B}"/>
              </c:ext>
            </c:extLst>
          </c:dPt>
          <c:dPt>
            <c:idx val="3"/>
            <c:bubble3D val="0"/>
            <c:spPr>
              <a:solidFill>
                <a:srgbClr val="FFFF00"/>
              </a:solidFill>
              <a:ln w="19050">
                <a:noFill/>
              </a:ln>
              <a:effectLst/>
            </c:spPr>
            <c:extLst>
              <c:ext xmlns:c16="http://schemas.microsoft.com/office/drawing/2014/chart" uri="{C3380CC4-5D6E-409C-BE32-E72D297353CC}">
                <c16:uniqueId val="{00000007-7190-497F-A5AD-CEDABFF2854B}"/>
              </c:ext>
            </c:extLst>
          </c:dPt>
          <c:dPt>
            <c:idx val="4"/>
            <c:bubble3D val="0"/>
            <c:spPr>
              <a:solidFill>
                <a:srgbClr val="66FF33"/>
              </a:solidFill>
              <a:ln w="19050">
                <a:noFill/>
              </a:ln>
              <a:effectLst/>
            </c:spPr>
            <c:extLst>
              <c:ext xmlns:c16="http://schemas.microsoft.com/office/drawing/2014/chart" uri="{C3380CC4-5D6E-409C-BE32-E72D297353CC}">
                <c16:uniqueId val="{00000009-7190-497F-A5AD-CEDABFF2854B}"/>
              </c:ext>
            </c:extLst>
          </c:dPt>
          <c:dPt>
            <c:idx val="5"/>
            <c:bubble3D val="0"/>
            <c:spPr>
              <a:solidFill>
                <a:srgbClr val="CCFFFF">
                  <a:alpha val="40000"/>
                </a:srgbClr>
              </a:solidFill>
              <a:ln w="19050">
                <a:noFill/>
              </a:ln>
              <a:effectLst/>
            </c:spPr>
            <c:extLst>
              <c:ext xmlns:c16="http://schemas.microsoft.com/office/drawing/2014/chart" uri="{C3380CC4-5D6E-409C-BE32-E72D297353CC}">
                <c16:uniqueId val="{0000000B-7190-497F-A5AD-CEDABFF2854B}"/>
              </c:ext>
            </c:extLst>
          </c:dPt>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table'!$D$4:$D$10</c:f>
              <c:strCache>
                <c:ptCount val="6"/>
                <c:pt idx="0">
                  <c:v>Finance</c:v>
                </c:pt>
                <c:pt idx="1">
                  <c:v>HR</c:v>
                </c:pt>
                <c:pt idx="2">
                  <c:v>IT</c:v>
                </c:pt>
                <c:pt idx="3">
                  <c:v>Marketing</c:v>
                </c:pt>
                <c:pt idx="4">
                  <c:v>Operations</c:v>
                </c:pt>
                <c:pt idx="5">
                  <c:v>Sales</c:v>
                </c:pt>
              </c:strCache>
            </c:strRef>
          </c:cat>
          <c:val>
            <c:numRef>
              <c:f>'Pivot table'!$E$4:$E$10</c:f>
              <c:numCache>
                <c:formatCode>0.00%</c:formatCode>
                <c:ptCount val="6"/>
                <c:pt idx="0">
                  <c:v>0.92128571428571437</c:v>
                </c:pt>
                <c:pt idx="1">
                  <c:v>0.90971428571428581</c:v>
                </c:pt>
                <c:pt idx="2">
                  <c:v>0.90069230769230768</c:v>
                </c:pt>
                <c:pt idx="3">
                  <c:v>0.87405555555555559</c:v>
                </c:pt>
                <c:pt idx="4">
                  <c:v>0.89715384615384608</c:v>
                </c:pt>
                <c:pt idx="5">
                  <c:v>0.93629411764705872</c:v>
                </c:pt>
              </c:numCache>
            </c:numRef>
          </c:val>
          <c:extLst>
            <c:ext xmlns:c16="http://schemas.microsoft.com/office/drawing/2014/chart" uri="{C3380CC4-5D6E-409C-BE32-E72D297353CC}">
              <c16:uniqueId val="{0000000C-7190-497F-A5AD-CEDABFF2854B}"/>
            </c:ext>
          </c:extLst>
        </c:ser>
        <c:dLbls>
          <c:showLegendKey val="0"/>
          <c:showVal val="1"/>
          <c:showCatName val="0"/>
          <c:showSerName val="0"/>
          <c:showPercent val="0"/>
          <c:showBubbleSize val="0"/>
          <c:showLeaderLines val="1"/>
        </c:dLbls>
        <c:firstSliceAng val="0"/>
        <c:holeSize val="50"/>
      </c:doughnutChart>
      <c:spPr>
        <a:noFill/>
        <a:ln>
          <a:noFill/>
        </a:ln>
        <a:effectLst>
          <a:innerShdw blurRad="63500" dist="50800" dir="2700000">
            <a:prstClr val="black">
              <a:alpha val="50000"/>
            </a:prstClr>
          </a:innerShdw>
        </a:effectLst>
      </c:spPr>
    </c:plotArea>
    <c:legend>
      <c:legendPos val="r"/>
      <c:legendEntry>
        <c:idx val="0"/>
        <c:txPr>
          <a:bodyPr rot="0" spcFirstLastPara="1" vertOverflow="ellipsis" vert="horz" wrap="square" anchor="ctr" anchorCtr="1"/>
          <a:lstStyle/>
          <a:p>
            <a:pPr>
              <a:defRPr sz="1000" b="1" i="1"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legendEntry>
      <c:legendEntry>
        <c:idx val="1"/>
        <c:txPr>
          <a:bodyPr rot="0" spcFirstLastPara="1" vertOverflow="ellipsis" vert="horz" wrap="square" anchor="ctr" anchorCtr="1"/>
          <a:lstStyle/>
          <a:p>
            <a:pPr>
              <a:defRPr sz="1000" b="1" i="1"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legendEntry>
      <c:legendEntry>
        <c:idx val="2"/>
        <c:txPr>
          <a:bodyPr rot="0" spcFirstLastPara="1" vertOverflow="ellipsis" vert="horz" wrap="square" anchor="ctr" anchorCtr="1"/>
          <a:lstStyle/>
          <a:p>
            <a:pPr>
              <a:defRPr sz="1000" b="1" i="1"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legendEntry>
      <c:legendEntry>
        <c:idx val="3"/>
        <c:txPr>
          <a:bodyPr rot="0" spcFirstLastPara="1" vertOverflow="ellipsis" vert="horz" wrap="square" anchor="ctr" anchorCtr="1"/>
          <a:lstStyle/>
          <a:p>
            <a:pPr>
              <a:defRPr sz="1000" b="1" i="1"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legendEntry>
      <c:legendEntry>
        <c:idx val="4"/>
        <c:txPr>
          <a:bodyPr rot="0" spcFirstLastPara="1" vertOverflow="ellipsis" vert="horz" wrap="square" anchor="ctr" anchorCtr="1"/>
          <a:lstStyle/>
          <a:p>
            <a:pPr>
              <a:defRPr sz="1000" b="1" i="1"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legendEntry>
      <c:legendEntry>
        <c:idx val="5"/>
        <c:txPr>
          <a:bodyPr rot="0" spcFirstLastPara="1" vertOverflow="ellipsis" vert="horz" wrap="square" anchor="ctr" anchorCtr="1"/>
          <a:lstStyle/>
          <a:p>
            <a:pPr>
              <a:defRPr sz="1000" b="1" i="1"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Performance Data.xlsx]Pivot table!PivotTable7</c:name>
    <c:fmtId val="6"/>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b="1" i="1">
                <a:solidFill>
                  <a:schemeClr val="bg1"/>
                </a:solidFill>
                <a:latin typeface="Cambria" panose="02040503050406030204" pitchFamily="18" charset="0"/>
                <a:ea typeface="Cambria" panose="02040503050406030204" pitchFamily="18" charset="0"/>
              </a:rPr>
              <a:t>Monthly</a:t>
            </a:r>
            <a:r>
              <a:rPr lang="en-US" b="1" i="1" baseline="0">
                <a:solidFill>
                  <a:schemeClr val="bg1"/>
                </a:solidFill>
                <a:latin typeface="Cambria" panose="02040503050406030204" pitchFamily="18" charset="0"/>
                <a:ea typeface="Cambria" panose="02040503050406030204" pitchFamily="18" charset="0"/>
              </a:rPr>
              <a:t> Avg Productivity Trend</a:t>
            </a:r>
            <a:endParaRPr lang="en-US" b="1" i="1">
              <a:solidFill>
                <a:schemeClr val="bg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00FF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50000"/>
              </a:schemeClr>
            </a:solidFill>
            <a:round/>
          </a:ln>
          <a:effectLst/>
        </c:spPr>
        <c:marker>
          <c:symbol val="circle"/>
          <c:size val="5"/>
          <c:spPr>
            <a:solidFill>
              <a:srgbClr val="00FFFF"/>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rgbClr val="00FF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50000"/>
              </a:schemeClr>
            </a:solidFill>
            <a:round/>
          </a:ln>
          <a:effectLst/>
        </c:spPr>
        <c:marker>
          <c:symbol val="circle"/>
          <c:size val="5"/>
          <c:spPr>
            <a:solidFill>
              <a:srgbClr val="00FFFF"/>
            </a:solidFill>
            <a:ln w="9525">
              <a:solidFill>
                <a:schemeClr val="accent1"/>
              </a:solidFill>
            </a:ln>
            <a:effectLst/>
          </c:spPr>
        </c:marker>
      </c:pivotFmt>
      <c:pivotFmt>
        <c:idx val="4"/>
        <c:spPr>
          <a:ln w="28575" cap="rnd">
            <a:gradFill>
              <a:gsLst>
                <a:gs pos="0">
                  <a:srgbClr val="00FFFF"/>
                </a:gs>
                <a:gs pos="100000">
                  <a:schemeClr val="accent1">
                    <a:lumMod val="30000"/>
                    <a:lumOff val="70000"/>
                  </a:schemeClr>
                </a:gs>
              </a:gsLst>
              <a:lin ang="5400000" scaled="1"/>
            </a:gradFill>
            <a:round/>
          </a:ln>
          <a:effectLst/>
        </c:spPr>
        <c:marker>
          <c:symbol val="circle"/>
          <c:size val="5"/>
          <c:spPr>
            <a:solidFill>
              <a:srgbClr val="51F23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gradFill>
              <a:gsLst>
                <a:gs pos="0">
                  <a:srgbClr val="00FFFF"/>
                </a:gs>
                <a:gs pos="100000">
                  <a:schemeClr val="accent1">
                    <a:lumMod val="30000"/>
                    <a:lumOff val="70000"/>
                  </a:schemeClr>
                </a:gs>
              </a:gsLst>
              <a:lin ang="5400000" scaled="1"/>
            </a:gradFill>
            <a:round/>
          </a:ln>
          <a:effectLst/>
        </c:spPr>
        <c:marker>
          <c:symbol val="circle"/>
          <c:size val="5"/>
        </c:marker>
      </c:pivotFmt>
    </c:pivotFmts>
    <c:plotArea>
      <c:layout>
        <c:manualLayout>
          <c:layoutTarget val="inner"/>
          <c:xMode val="edge"/>
          <c:yMode val="edge"/>
          <c:x val="0.12870603674540684"/>
          <c:y val="0.24837525517643627"/>
          <c:w val="0.82962729658792655"/>
          <c:h val="0.56126239428404778"/>
        </c:manualLayout>
      </c:layout>
      <c:lineChart>
        <c:grouping val="standard"/>
        <c:varyColors val="0"/>
        <c:ser>
          <c:idx val="0"/>
          <c:order val="0"/>
          <c:tx>
            <c:strRef>
              <c:f>'Pivot table'!$E$14</c:f>
              <c:strCache>
                <c:ptCount val="1"/>
                <c:pt idx="0">
                  <c:v>Total</c:v>
                </c:pt>
              </c:strCache>
            </c:strRef>
          </c:tx>
          <c:spPr>
            <a:ln w="28575" cap="rnd">
              <a:gradFill>
                <a:gsLst>
                  <a:gs pos="0">
                    <a:srgbClr val="00FFFF"/>
                  </a:gs>
                  <a:gs pos="100000">
                    <a:schemeClr val="accent1">
                      <a:lumMod val="30000"/>
                      <a:lumOff val="70000"/>
                    </a:schemeClr>
                  </a:gs>
                </a:gsLst>
                <a:lin ang="5400000" scaled="1"/>
              </a:gradFill>
              <a:round/>
            </a:ln>
            <a:effectLst/>
          </c:spPr>
          <c:marker>
            <c:symbol val="circle"/>
            <c:size val="5"/>
            <c:spPr>
              <a:solidFill>
                <a:srgbClr val="51F236"/>
              </a:solidFill>
              <a:ln w="9525">
                <a:solidFill>
                  <a:schemeClr val="accent1"/>
                </a:solidFill>
              </a:ln>
              <a:effectLst/>
            </c:spPr>
          </c:marker>
          <c:dPt>
            <c:idx val="2"/>
            <c:marker>
              <c:symbol val="circle"/>
              <c:size val="5"/>
              <c:spPr>
                <a:solidFill>
                  <a:srgbClr val="51F236"/>
                </a:solidFill>
                <a:ln w="9525">
                  <a:solidFill>
                    <a:schemeClr val="accent1"/>
                  </a:solidFill>
                </a:ln>
                <a:effectLst/>
              </c:spPr>
            </c:marker>
            <c:bubble3D val="0"/>
            <c:spPr>
              <a:ln w="28575" cap="rnd">
                <a:gradFill>
                  <a:gsLst>
                    <a:gs pos="0">
                      <a:srgbClr val="00FFFF"/>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1-ACE0-4042-80EA-5496EDBF16A0}"/>
              </c:ext>
            </c:extLst>
          </c:dPt>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table'!$D$15:$D$22</c:f>
              <c:strCache>
                <c:ptCount val="7"/>
                <c:pt idx="0">
                  <c:v>Jan</c:v>
                </c:pt>
                <c:pt idx="1">
                  <c:v>Feb</c:v>
                </c:pt>
                <c:pt idx="2">
                  <c:v>Mar</c:v>
                </c:pt>
                <c:pt idx="3">
                  <c:v>Apr</c:v>
                </c:pt>
                <c:pt idx="4">
                  <c:v>May</c:v>
                </c:pt>
                <c:pt idx="5">
                  <c:v>Jun</c:v>
                </c:pt>
                <c:pt idx="6">
                  <c:v>Jul</c:v>
                </c:pt>
              </c:strCache>
            </c:strRef>
          </c:cat>
          <c:val>
            <c:numRef>
              <c:f>'Pivot table'!$E$15:$E$22</c:f>
              <c:numCache>
                <c:formatCode>0.00%</c:formatCode>
                <c:ptCount val="7"/>
                <c:pt idx="0">
                  <c:v>0.96260000000000001</c:v>
                </c:pt>
                <c:pt idx="1">
                  <c:v>0.94374999999999998</c:v>
                </c:pt>
                <c:pt idx="2">
                  <c:v>0.85171428571428598</c:v>
                </c:pt>
                <c:pt idx="3">
                  <c:v>0.93092307692307696</c:v>
                </c:pt>
                <c:pt idx="4">
                  <c:v>0.91907142857142865</c:v>
                </c:pt>
                <c:pt idx="5">
                  <c:v>0.91184615384615375</c:v>
                </c:pt>
                <c:pt idx="6">
                  <c:v>0.90537500000000004</c:v>
                </c:pt>
              </c:numCache>
            </c:numRef>
          </c:val>
          <c:smooth val="0"/>
          <c:extLst>
            <c:ext xmlns:c16="http://schemas.microsoft.com/office/drawing/2014/chart" uri="{C3380CC4-5D6E-409C-BE32-E72D297353CC}">
              <c16:uniqueId val="{00000002-ACE0-4042-80EA-5496EDBF16A0}"/>
            </c:ext>
          </c:extLst>
        </c:ser>
        <c:dLbls>
          <c:showLegendKey val="0"/>
          <c:showVal val="0"/>
          <c:showCatName val="0"/>
          <c:showSerName val="0"/>
          <c:showPercent val="0"/>
          <c:showBubbleSize val="0"/>
        </c:dLbls>
        <c:marker val="1"/>
        <c:smooth val="0"/>
        <c:axId val="532318367"/>
        <c:axId val="385167503"/>
      </c:lineChart>
      <c:dateAx>
        <c:axId val="532318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crossAx val="385167503"/>
        <c:crosses val="autoZero"/>
        <c:auto val="0"/>
        <c:lblOffset val="100"/>
        <c:baseTimeUnit val="days"/>
      </c:dateAx>
      <c:valAx>
        <c:axId val="385167503"/>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2318367"/>
        <c:crosses val="autoZero"/>
        <c:crossBetween val="between"/>
        <c:majorUnit val="0.2"/>
        <c:min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Performance Data.xlsx]Pivot table!PivotTable10</c:name>
    <c:fmtId val="5"/>
  </c:pivotSource>
  <c:chart>
    <c:title>
      <c:tx>
        <c:rich>
          <a:bodyPr rot="0" spcFirstLastPara="1" vertOverflow="ellipsis" vert="horz" wrap="square" anchor="ctr" anchorCtr="1"/>
          <a:lstStyle/>
          <a:p>
            <a:pPr>
              <a:defRPr sz="1400" b="0" i="1" u="none" strike="noStrike" kern="1200" spc="0" baseline="0">
                <a:solidFill>
                  <a:schemeClr val="bg1"/>
                </a:solidFill>
                <a:latin typeface="+mn-lt"/>
                <a:ea typeface="+mn-ea"/>
                <a:cs typeface="+mn-cs"/>
              </a:defRPr>
            </a:pPr>
            <a:r>
              <a:rPr lang="en-US" b="1" i="1">
                <a:latin typeface="Cambria" panose="02040503050406030204" pitchFamily="18" charset="0"/>
                <a:ea typeface="Cambria" panose="02040503050406030204" pitchFamily="18" charset="0"/>
              </a:rPr>
              <a:t>Performance</a:t>
            </a:r>
            <a:r>
              <a:rPr lang="en-US" b="1" i="1" baseline="0">
                <a:latin typeface="Cambria" panose="02040503050406030204" pitchFamily="18" charset="0"/>
                <a:ea typeface="Cambria" panose="02040503050406030204" pitchFamily="18" charset="0"/>
              </a:rPr>
              <a:t> Status</a:t>
            </a:r>
            <a:endParaRPr lang="en-US" b="1" i="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FFFF"/>
          </a:solidFill>
          <a:ln w="25400">
            <a:noFill/>
          </a:ln>
          <a:effectLst/>
          <a:sp3d/>
        </c:spPr>
      </c:pivotFmt>
      <c:pivotFmt>
        <c:idx val="7"/>
        <c:spPr>
          <a:solidFill>
            <a:schemeClr val="tx2">
              <a:lumMod val="75000"/>
              <a:lumOff val="25000"/>
            </a:schemeClr>
          </a:solidFill>
          <a:ln w="25400">
            <a:noFill/>
          </a:ln>
          <a:effectLst/>
          <a:sp3d/>
        </c:spPr>
      </c:pivotFmt>
      <c:pivotFmt>
        <c:idx val="8"/>
        <c:spPr>
          <a:solidFill>
            <a:srgbClr val="66FF33"/>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table'!$K$14</c:f>
              <c:strCache>
                <c:ptCount val="1"/>
                <c:pt idx="0">
                  <c:v>Total</c:v>
                </c:pt>
              </c:strCache>
            </c:strRef>
          </c:tx>
          <c:spPr>
            <a:ln>
              <a:noFill/>
            </a:ln>
          </c:spPr>
          <c:dPt>
            <c:idx val="0"/>
            <c:bubble3D val="0"/>
            <c:spPr>
              <a:solidFill>
                <a:srgbClr val="00FFFF"/>
              </a:solidFill>
              <a:ln w="25400">
                <a:noFill/>
              </a:ln>
              <a:effectLst/>
              <a:sp3d/>
            </c:spPr>
            <c:extLst>
              <c:ext xmlns:c16="http://schemas.microsoft.com/office/drawing/2014/chart" uri="{C3380CC4-5D6E-409C-BE32-E72D297353CC}">
                <c16:uniqueId val="{00000001-EA56-4A50-BED6-3834C1BF962B}"/>
              </c:ext>
            </c:extLst>
          </c:dPt>
          <c:dPt>
            <c:idx val="1"/>
            <c:bubble3D val="0"/>
            <c:spPr>
              <a:solidFill>
                <a:schemeClr val="tx2">
                  <a:lumMod val="75000"/>
                  <a:lumOff val="25000"/>
                </a:schemeClr>
              </a:solidFill>
              <a:ln w="25400">
                <a:noFill/>
              </a:ln>
              <a:effectLst/>
              <a:sp3d/>
            </c:spPr>
            <c:extLst>
              <c:ext xmlns:c16="http://schemas.microsoft.com/office/drawing/2014/chart" uri="{C3380CC4-5D6E-409C-BE32-E72D297353CC}">
                <c16:uniqueId val="{00000003-EA56-4A50-BED6-3834C1BF962B}"/>
              </c:ext>
            </c:extLst>
          </c:dPt>
          <c:dPt>
            <c:idx val="2"/>
            <c:bubble3D val="0"/>
            <c:spPr>
              <a:solidFill>
                <a:srgbClr val="66FF33"/>
              </a:solidFill>
              <a:ln w="25400">
                <a:noFill/>
              </a:ln>
              <a:effectLst/>
              <a:sp3d/>
            </c:spPr>
            <c:extLst>
              <c:ext xmlns:c16="http://schemas.microsoft.com/office/drawing/2014/chart" uri="{C3380CC4-5D6E-409C-BE32-E72D297353CC}">
                <c16:uniqueId val="{00000005-EA56-4A50-BED6-3834C1BF962B}"/>
              </c:ext>
            </c:extLst>
          </c:dPt>
          <c:dLbls>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table'!$J$15:$J$18</c:f>
              <c:strCache>
                <c:ptCount val="3"/>
                <c:pt idx="0">
                  <c:v>High Performer</c:v>
                </c:pt>
                <c:pt idx="1">
                  <c:v>Needs Improvement</c:v>
                </c:pt>
                <c:pt idx="2">
                  <c:v>On Track</c:v>
                </c:pt>
              </c:strCache>
            </c:strRef>
          </c:cat>
          <c:val>
            <c:numRef>
              <c:f>'Pivot table'!$K$15:$K$18</c:f>
              <c:numCache>
                <c:formatCode>General</c:formatCode>
                <c:ptCount val="3"/>
                <c:pt idx="0">
                  <c:v>58</c:v>
                </c:pt>
                <c:pt idx="1">
                  <c:v>11</c:v>
                </c:pt>
                <c:pt idx="2">
                  <c:v>20</c:v>
                </c:pt>
              </c:numCache>
            </c:numRef>
          </c:val>
          <c:extLst>
            <c:ext xmlns:c16="http://schemas.microsoft.com/office/drawing/2014/chart" uri="{C3380CC4-5D6E-409C-BE32-E72D297353CC}">
              <c16:uniqueId val="{00000006-EA56-4A50-BED6-3834C1BF962B}"/>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Performance Data.xlsx]Pivot table!PivotTable5</c:name>
    <c:fmtId val="10"/>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sz="1400" b="1" i="1">
                <a:solidFill>
                  <a:schemeClr val="bg1"/>
                </a:solidFill>
                <a:latin typeface="Cambria" panose="02040503050406030204" pitchFamily="18" charset="0"/>
                <a:ea typeface="Cambria" panose="02040503050406030204" pitchFamily="18" charset="0"/>
              </a:rPr>
              <a:t>Avg</a:t>
            </a:r>
            <a:r>
              <a:rPr lang="en-US" sz="1400" b="1" i="1" baseline="0">
                <a:solidFill>
                  <a:schemeClr val="bg1"/>
                </a:solidFill>
                <a:latin typeface="Cambria" panose="02040503050406030204" pitchFamily="18" charset="0"/>
                <a:ea typeface="Cambria" panose="02040503050406030204" pitchFamily="18" charset="0"/>
              </a:rPr>
              <a:t> Quality Score Statewise</a:t>
            </a:r>
            <a:endParaRPr lang="en-US" sz="1400" b="1" i="1">
              <a:solidFill>
                <a:schemeClr val="bg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FFFF"/>
              </a:gs>
              <a:gs pos="100000">
                <a:srgbClr val="00FFFF"/>
              </a:gs>
              <a:gs pos="0">
                <a:srgbClr val="F95635"/>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750184007958492E-2"/>
          <c:y val="0.2880103607759118"/>
          <c:w val="0.88695078740157485"/>
          <c:h val="0.6126323720575938"/>
        </c:manualLayout>
      </c:layout>
      <c:bar3DChart>
        <c:barDir val="col"/>
        <c:grouping val="standard"/>
        <c:varyColors val="0"/>
        <c:ser>
          <c:idx val="0"/>
          <c:order val="0"/>
          <c:tx>
            <c:strRef>
              <c:f>'Pivot table'!$K$3</c:f>
              <c:strCache>
                <c:ptCount val="1"/>
                <c:pt idx="0">
                  <c:v>Total</c:v>
                </c:pt>
              </c:strCache>
            </c:strRef>
          </c:tx>
          <c:spPr>
            <a:gradFill>
              <a:gsLst>
                <a:gs pos="0">
                  <a:srgbClr val="00FFFF"/>
                </a:gs>
                <a:gs pos="100000">
                  <a:srgbClr val="00FFFF"/>
                </a:gs>
                <a:gs pos="0">
                  <a:srgbClr val="F95635"/>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table'!$J$4:$J$8</c:f>
              <c:strCache>
                <c:ptCount val="4"/>
                <c:pt idx="0">
                  <c:v>California</c:v>
                </c:pt>
                <c:pt idx="1">
                  <c:v>Florida</c:v>
                </c:pt>
                <c:pt idx="2">
                  <c:v>New York</c:v>
                </c:pt>
                <c:pt idx="3">
                  <c:v>Texas</c:v>
                </c:pt>
              </c:strCache>
            </c:strRef>
          </c:cat>
          <c:val>
            <c:numRef>
              <c:f>'Pivot table'!$K$4:$K$8</c:f>
              <c:numCache>
                <c:formatCode>0.00%</c:formatCode>
                <c:ptCount val="4"/>
                <c:pt idx="0">
                  <c:v>0.90867999999999993</c:v>
                </c:pt>
                <c:pt idx="1">
                  <c:v>0.89919047619047632</c:v>
                </c:pt>
                <c:pt idx="2">
                  <c:v>0.83890909090909094</c:v>
                </c:pt>
                <c:pt idx="3">
                  <c:v>0.9027142857142858</c:v>
                </c:pt>
              </c:numCache>
            </c:numRef>
          </c:val>
          <c:extLst>
            <c:ext xmlns:c16="http://schemas.microsoft.com/office/drawing/2014/chart" uri="{C3380CC4-5D6E-409C-BE32-E72D297353CC}">
              <c16:uniqueId val="{00000000-ACFA-4F92-9B7B-24C65875E68C}"/>
            </c:ext>
          </c:extLst>
        </c:ser>
        <c:dLbls>
          <c:showLegendKey val="0"/>
          <c:showVal val="1"/>
          <c:showCatName val="0"/>
          <c:showSerName val="0"/>
          <c:showPercent val="0"/>
          <c:showBubbleSize val="0"/>
        </c:dLbls>
        <c:gapWidth val="150"/>
        <c:shape val="box"/>
        <c:axId val="258915552"/>
        <c:axId val="50813424"/>
        <c:axId val="32946096"/>
      </c:bar3DChart>
      <c:catAx>
        <c:axId val="2589155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crossAx val="50813424"/>
        <c:crosses val="autoZero"/>
        <c:auto val="1"/>
        <c:lblAlgn val="ctr"/>
        <c:lblOffset val="100"/>
        <c:noMultiLvlLbl val="0"/>
      </c:catAx>
      <c:valAx>
        <c:axId val="50813424"/>
        <c:scaling>
          <c:orientation val="minMax"/>
        </c:scaling>
        <c:delete val="1"/>
        <c:axPos val="l"/>
        <c:numFmt formatCode="0.00%" sourceLinked="1"/>
        <c:majorTickMark val="out"/>
        <c:minorTickMark val="none"/>
        <c:tickLblPos val="nextTo"/>
        <c:crossAx val="258915552"/>
        <c:crosses val="autoZero"/>
        <c:crossBetween val="between"/>
      </c:valAx>
      <c:serAx>
        <c:axId val="32946096"/>
        <c:scaling>
          <c:orientation val="minMax"/>
        </c:scaling>
        <c:delete val="1"/>
        <c:axPos val="b"/>
        <c:majorTickMark val="out"/>
        <c:minorTickMark val="none"/>
        <c:tickLblPos val="nextTo"/>
        <c:crossAx val="5081342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Performance Data.xlsx]Pivot table!PivotTable9</c:name>
    <c:fmtId val="8"/>
  </c:pivotSource>
  <c:chart>
    <c:title>
      <c:tx>
        <c:rich>
          <a:bodyPr rot="0" spcFirstLastPara="1" vertOverflow="ellipsis" vert="horz" wrap="square" anchor="ctr" anchorCtr="1"/>
          <a:lstStyle/>
          <a:p>
            <a:pPr>
              <a:defRPr sz="1200" b="0" i="1" u="none" strike="noStrike" kern="1200" spc="0" baseline="0">
                <a:solidFill>
                  <a:schemeClr val="tx1">
                    <a:lumMod val="65000"/>
                    <a:lumOff val="35000"/>
                  </a:schemeClr>
                </a:solidFill>
                <a:latin typeface="+mn-lt"/>
                <a:ea typeface="+mn-ea"/>
                <a:cs typeface="+mn-cs"/>
              </a:defRPr>
            </a:pPr>
            <a:r>
              <a:rPr lang="en-US" sz="1200" b="1" i="1">
                <a:solidFill>
                  <a:schemeClr val="bg1"/>
                </a:solidFill>
                <a:latin typeface="Cambria" panose="02040503050406030204" pitchFamily="18" charset="0"/>
                <a:ea typeface="Cambria" panose="02040503050406030204" pitchFamily="18" charset="0"/>
              </a:rPr>
              <a:t>Attendance</a:t>
            </a:r>
            <a:r>
              <a:rPr lang="en-US" sz="1200" b="1" i="1" baseline="0">
                <a:solidFill>
                  <a:schemeClr val="bg1"/>
                </a:solidFill>
                <a:latin typeface="Cambria" panose="02040503050406030204" pitchFamily="18" charset="0"/>
                <a:ea typeface="Cambria" panose="02040503050406030204" pitchFamily="18" charset="0"/>
              </a:rPr>
              <a:t> status</a:t>
            </a:r>
            <a:endParaRPr lang="en-US" sz="1200" b="1" i="1">
              <a:solidFill>
                <a:schemeClr val="bg1"/>
              </a:solidFill>
              <a:latin typeface="Cambria" panose="02040503050406030204" pitchFamily="18" charset="0"/>
              <a:ea typeface="Cambria" panose="02040503050406030204" pitchFamily="18" charset="0"/>
            </a:endParaRPr>
          </a:p>
        </c:rich>
      </c:tx>
      <c:layout>
        <c:manualLayout>
          <c:xMode val="edge"/>
          <c:yMode val="edge"/>
          <c:x val="0.21372181344124033"/>
          <c:y val="4.7958603682736675E-2"/>
        </c:manualLayout>
      </c:layout>
      <c:overlay val="0"/>
      <c:spPr>
        <a:noFill/>
        <a:ln>
          <a:noFill/>
        </a:ln>
        <a:effectLst/>
      </c:spPr>
      <c:txPr>
        <a:bodyPr rot="0" spcFirstLastPara="1" vertOverflow="ellipsis" vert="horz" wrap="square" anchor="ctr" anchorCtr="1"/>
        <a:lstStyle/>
        <a:p>
          <a:pPr>
            <a:defRPr sz="12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rgbClr val="66FFFF"/>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40000">
                <a:srgbClr val="3870EC"/>
              </a:gs>
              <a:gs pos="0">
                <a:srgbClr val="66FFFF"/>
              </a:gs>
              <a:gs pos="100000">
                <a:srgbClr val="7543F3"/>
              </a:gs>
            </a:gsLst>
            <a:lin ang="5400000" scaled="1"/>
          </a:gradFill>
          <a:ln w="19050">
            <a:noFill/>
          </a:ln>
          <a:effectLst/>
        </c:spPr>
      </c:pivotFmt>
      <c:pivotFmt>
        <c:idx val="7"/>
        <c:spPr>
          <a:gradFill>
            <a:gsLst>
              <a:gs pos="0">
                <a:srgbClr val="FF6600"/>
              </a:gs>
              <a:gs pos="4000">
                <a:srgbClr val="FFFF00"/>
              </a:gs>
              <a:gs pos="100000">
                <a:srgbClr val="FF0000"/>
              </a:gs>
            </a:gsLst>
            <a:lin ang="5400000" scaled="1"/>
          </a:gradFill>
          <a:ln w="19050">
            <a:noFill/>
          </a:ln>
          <a:effectLst/>
        </c:spPr>
      </c:pivotFmt>
      <c:pivotFmt>
        <c:idx val="8"/>
        <c:spPr>
          <a:gradFill>
            <a:gsLst>
              <a:gs pos="4000">
                <a:srgbClr val="FFFF00"/>
              </a:gs>
              <a:gs pos="0">
                <a:srgbClr val="66FFFF"/>
              </a:gs>
              <a:gs pos="100000">
                <a:srgbClr val="92D050"/>
              </a:gs>
            </a:gsLst>
            <a:lin ang="5400000" scaled="1"/>
          </a:gradFill>
          <a:ln w="19050">
            <a:noFill/>
          </a:ln>
          <a:effectLst/>
        </c:spPr>
      </c:pivotFmt>
    </c:pivotFmts>
    <c:plotArea>
      <c:layout/>
      <c:pieChart>
        <c:varyColors val="1"/>
        <c:ser>
          <c:idx val="0"/>
          <c:order val="0"/>
          <c:tx>
            <c:strRef>
              <c:f>'Pivot table'!$K$20</c:f>
              <c:strCache>
                <c:ptCount val="1"/>
                <c:pt idx="0">
                  <c:v>Total</c:v>
                </c:pt>
              </c:strCache>
            </c:strRef>
          </c:tx>
          <c:spPr>
            <a:gradFill>
              <a:gsLst>
                <a:gs pos="0">
                  <a:srgbClr val="66FFFF"/>
                </a:gs>
                <a:gs pos="100000">
                  <a:schemeClr val="accent1">
                    <a:lumMod val="30000"/>
                    <a:lumOff val="70000"/>
                  </a:schemeClr>
                </a:gs>
              </a:gsLst>
              <a:lin ang="5400000" scaled="1"/>
            </a:gradFill>
          </c:spPr>
          <c:dPt>
            <c:idx val="0"/>
            <c:bubble3D val="0"/>
            <c:spPr>
              <a:gradFill>
                <a:gsLst>
                  <a:gs pos="40000">
                    <a:srgbClr val="3870EC"/>
                  </a:gs>
                  <a:gs pos="0">
                    <a:srgbClr val="66FFFF"/>
                  </a:gs>
                  <a:gs pos="100000">
                    <a:srgbClr val="7543F3"/>
                  </a:gs>
                </a:gsLst>
                <a:lin ang="5400000" scaled="1"/>
              </a:gradFill>
              <a:ln w="19050">
                <a:noFill/>
              </a:ln>
              <a:effectLst/>
            </c:spPr>
            <c:extLst>
              <c:ext xmlns:c16="http://schemas.microsoft.com/office/drawing/2014/chart" uri="{C3380CC4-5D6E-409C-BE32-E72D297353CC}">
                <c16:uniqueId val="{00000001-07D5-4F1B-B619-FD36C812A644}"/>
              </c:ext>
            </c:extLst>
          </c:dPt>
          <c:dPt>
            <c:idx val="1"/>
            <c:bubble3D val="0"/>
            <c:spPr>
              <a:gradFill>
                <a:gsLst>
                  <a:gs pos="0">
                    <a:srgbClr val="FF6600"/>
                  </a:gs>
                  <a:gs pos="4000">
                    <a:srgbClr val="FFFF00"/>
                  </a:gs>
                  <a:gs pos="100000">
                    <a:srgbClr val="FF0000"/>
                  </a:gs>
                </a:gsLst>
                <a:lin ang="5400000" scaled="1"/>
              </a:gradFill>
              <a:ln w="19050">
                <a:noFill/>
              </a:ln>
              <a:effectLst/>
            </c:spPr>
            <c:extLst>
              <c:ext xmlns:c16="http://schemas.microsoft.com/office/drawing/2014/chart" uri="{C3380CC4-5D6E-409C-BE32-E72D297353CC}">
                <c16:uniqueId val="{00000003-07D5-4F1B-B619-FD36C812A644}"/>
              </c:ext>
            </c:extLst>
          </c:dPt>
          <c:dPt>
            <c:idx val="2"/>
            <c:bubble3D val="0"/>
            <c:spPr>
              <a:gradFill>
                <a:gsLst>
                  <a:gs pos="4000">
                    <a:srgbClr val="FFFF00"/>
                  </a:gs>
                  <a:gs pos="0">
                    <a:srgbClr val="66FFFF"/>
                  </a:gs>
                  <a:gs pos="100000">
                    <a:srgbClr val="92D050"/>
                  </a:gs>
                </a:gsLst>
                <a:lin ang="5400000" scaled="1"/>
              </a:gradFill>
              <a:ln w="19050">
                <a:noFill/>
              </a:ln>
              <a:effectLst/>
            </c:spPr>
            <c:extLst>
              <c:ext xmlns:c16="http://schemas.microsoft.com/office/drawing/2014/chart" uri="{C3380CC4-5D6E-409C-BE32-E72D297353CC}">
                <c16:uniqueId val="{00000005-07D5-4F1B-B619-FD36C812A64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table'!$J$21:$J$24</c:f>
              <c:strCache>
                <c:ptCount val="3"/>
                <c:pt idx="0">
                  <c:v>Leave</c:v>
                </c:pt>
                <c:pt idx="1">
                  <c:v>Present</c:v>
                </c:pt>
                <c:pt idx="2">
                  <c:v>Work From Home</c:v>
                </c:pt>
              </c:strCache>
            </c:strRef>
          </c:cat>
          <c:val>
            <c:numRef>
              <c:f>'Pivot table'!$K$21:$K$24</c:f>
              <c:numCache>
                <c:formatCode>General</c:formatCode>
                <c:ptCount val="3"/>
                <c:pt idx="0">
                  <c:v>8</c:v>
                </c:pt>
                <c:pt idx="1">
                  <c:v>67</c:v>
                </c:pt>
                <c:pt idx="2">
                  <c:v>14</c:v>
                </c:pt>
              </c:numCache>
            </c:numRef>
          </c:val>
          <c:extLst>
            <c:ext xmlns:c16="http://schemas.microsoft.com/office/drawing/2014/chart" uri="{C3380CC4-5D6E-409C-BE32-E72D297353CC}">
              <c16:uniqueId val="{00000006-07D5-4F1B-B619-FD36C812A64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142650219951379"/>
          <c:y val="0.27307101692505181"/>
          <c:w val="0.33333317917620897"/>
          <c:h val="0.570548766477189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7.xml"/><Relationship Id="rId5" Type="http://schemas.openxmlformats.org/officeDocument/2006/relationships/chart" Target="../charts/chart4.xml"/><Relationship Id="rId10" Type="http://schemas.openxmlformats.org/officeDocument/2006/relationships/chart" Target="../charts/chart6.xml"/><Relationship Id="rId4" Type="http://schemas.openxmlformats.org/officeDocument/2006/relationships/chart" Target="../charts/chart3.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0</xdr:col>
      <xdr:colOff>220980</xdr:colOff>
      <xdr:row>0</xdr:row>
      <xdr:rowOff>91440</xdr:rowOff>
    </xdr:from>
    <xdr:to>
      <xdr:col>24</xdr:col>
      <xdr:colOff>134580</xdr:colOff>
      <xdr:row>41</xdr:row>
      <xdr:rowOff>45360</xdr:rowOff>
    </xdr:to>
    <xdr:sp macro="" textlink="">
      <xdr:nvSpPr>
        <xdr:cNvPr id="2" name="Rectangle 1">
          <a:extLst>
            <a:ext uri="{FF2B5EF4-FFF2-40B4-BE49-F238E27FC236}">
              <a16:creationId xmlns:a16="http://schemas.microsoft.com/office/drawing/2014/main" id="{6518FB91-B693-5919-E8AA-08306F3ED041}"/>
            </a:ext>
          </a:extLst>
        </xdr:cNvPr>
        <xdr:cNvSpPr/>
      </xdr:nvSpPr>
      <xdr:spPr>
        <a:xfrm>
          <a:off x="220980" y="91440"/>
          <a:ext cx="14505089" cy="7265877"/>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clientData/>
  </xdr:twoCellAnchor>
  <xdr:twoCellAnchor>
    <xdr:from>
      <xdr:col>0</xdr:col>
      <xdr:colOff>237180</xdr:colOff>
      <xdr:row>0</xdr:row>
      <xdr:rowOff>106680</xdr:rowOff>
    </xdr:from>
    <xdr:to>
      <xdr:col>3</xdr:col>
      <xdr:colOff>28380</xdr:colOff>
      <xdr:row>40</xdr:row>
      <xdr:rowOff>175260</xdr:rowOff>
    </xdr:to>
    <xdr:sp macro="" textlink="">
      <xdr:nvSpPr>
        <xdr:cNvPr id="4" name="Rectangle: Rounded Corners 3">
          <a:extLst>
            <a:ext uri="{FF2B5EF4-FFF2-40B4-BE49-F238E27FC236}">
              <a16:creationId xmlns:a16="http://schemas.microsoft.com/office/drawing/2014/main" id="{DEFE09EE-C135-693B-B672-69DC06AA091E}"/>
            </a:ext>
          </a:extLst>
        </xdr:cNvPr>
        <xdr:cNvSpPr/>
      </xdr:nvSpPr>
      <xdr:spPr>
        <a:xfrm rot="16200000">
          <a:off x="-2556351" y="2900211"/>
          <a:ext cx="7202197" cy="1615136"/>
        </a:xfrm>
        <a:prstGeom prst="roundRect">
          <a:avLst/>
        </a:prstGeom>
        <a:gradFill>
          <a:gsLst>
            <a:gs pos="0">
              <a:srgbClr val="00FFFF"/>
            </a:gs>
            <a:gs pos="100000">
              <a:schemeClr val="accent1">
                <a:lumMod val="45000"/>
                <a:lumOff val="55000"/>
              </a:schemeClr>
            </a:gs>
            <a:gs pos="100000">
              <a:srgbClr val="115B67"/>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mbria" panose="02040503050406030204" pitchFamily="18" charset="0"/>
            <a:ea typeface="Cambria" panose="02040503050406030204" pitchFamily="18" charset="0"/>
          </a:endParaRPr>
        </a:p>
      </xdr:txBody>
    </xdr:sp>
    <xdr:clientData/>
  </xdr:twoCellAnchor>
  <xdr:twoCellAnchor>
    <xdr:from>
      <xdr:col>3</xdr:col>
      <xdr:colOff>60960</xdr:colOff>
      <xdr:row>0</xdr:row>
      <xdr:rowOff>175260</xdr:rowOff>
    </xdr:from>
    <xdr:to>
      <xdr:col>24</xdr:col>
      <xdr:colOff>68580</xdr:colOff>
      <xdr:row>4</xdr:row>
      <xdr:rowOff>60960</xdr:rowOff>
    </xdr:to>
    <xdr:sp macro="" textlink="">
      <xdr:nvSpPr>
        <xdr:cNvPr id="3" name="Rectangle: Rounded Corners 2">
          <a:extLst>
            <a:ext uri="{FF2B5EF4-FFF2-40B4-BE49-F238E27FC236}">
              <a16:creationId xmlns:a16="http://schemas.microsoft.com/office/drawing/2014/main" id="{59EEA809-B831-E6D2-9B54-1AE107320EB1}"/>
            </a:ext>
          </a:extLst>
        </xdr:cNvPr>
        <xdr:cNvSpPr/>
      </xdr:nvSpPr>
      <xdr:spPr>
        <a:xfrm>
          <a:off x="1884896" y="175260"/>
          <a:ext cx="12775173" cy="599062"/>
        </a:xfrm>
        <a:prstGeom prst="roundRect">
          <a:avLst/>
        </a:prstGeom>
        <a:gradFill>
          <a:gsLst>
            <a:gs pos="0">
              <a:srgbClr val="00FFFF"/>
            </a:gs>
            <a:gs pos="100000">
              <a:schemeClr val="accent1">
                <a:lumMod val="45000"/>
                <a:lumOff val="55000"/>
              </a:schemeClr>
            </a:gs>
            <a:gs pos="100000">
              <a:srgbClr val="115B67"/>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53340</xdr:colOff>
      <xdr:row>1</xdr:row>
      <xdr:rowOff>91440</xdr:rowOff>
    </xdr:from>
    <xdr:to>
      <xdr:col>20</xdr:col>
      <xdr:colOff>312420</xdr:colOff>
      <xdr:row>4</xdr:row>
      <xdr:rowOff>0</xdr:rowOff>
    </xdr:to>
    <xdr:sp macro="" textlink="">
      <xdr:nvSpPr>
        <xdr:cNvPr id="5" name="TextBox 4">
          <a:extLst>
            <a:ext uri="{FF2B5EF4-FFF2-40B4-BE49-F238E27FC236}">
              <a16:creationId xmlns:a16="http://schemas.microsoft.com/office/drawing/2014/main" id="{EE14BE9E-2887-6161-2D53-1F4DEAC95791}"/>
            </a:ext>
          </a:extLst>
        </xdr:cNvPr>
        <xdr:cNvSpPr txBox="1"/>
      </xdr:nvSpPr>
      <xdr:spPr>
        <a:xfrm>
          <a:off x="3710940" y="274320"/>
          <a:ext cx="8793480" cy="457200"/>
        </a:xfrm>
        <a:prstGeom prst="rect">
          <a:avLst/>
        </a:prstGeom>
        <a:gradFill>
          <a:gsLst>
            <a:gs pos="0">
              <a:srgbClr val="00FFFF"/>
            </a:gs>
            <a:gs pos="100000">
              <a:schemeClr val="accent1">
                <a:lumMod val="45000"/>
                <a:lumOff val="55000"/>
              </a:schemeClr>
            </a:gs>
            <a:gs pos="100000">
              <a:srgbClr val="115B67"/>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baseline="0">
              <a:ln>
                <a:noFill/>
              </a:ln>
              <a:solidFill>
                <a:schemeClr val="accent1">
                  <a:lumMod val="50000"/>
                </a:schemeClr>
              </a:solidFill>
              <a:latin typeface="Cambria" panose="02040503050406030204" pitchFamily="18" charset="0"/>
              <a:ea typeface="Cambria" panose="02040503050406030204" pitchFamily="18" charset="0"/>
            </a:rPr>
            <a:t>EMPLOYEE PRODUCTIVITY DASHBOARD IN EXCEL</a:t>
          </a:r>
          <a:endParaRPr lang="en-US" sz="2000" b="1">
            <a:ln>
              <a:noFill/>
            </a:ln>
            <a:solidFill>
              <a:schemeClr val="accent1">
                <a:lumMod val="50000"/>
              </a:schemeClr>
            </a:solidFill>
            <a:latin typeface="Cambria" panose="02040503050406030204" pitchFamily="18" charset="0"/>
            <a:ea typeface="Cambria" panose="02040503050406030204" pitchFamily="18" charset="0"/>
          </a:endParaRPr>
        </a:p>
      </xdr:txBody>
    </xdr:sp>
    <xdr:clientData/>
  </xdr:twoCellAnchor>
  <xdr:twoCellAnchor editAs="oneCell">
    <xdr:from>
      <xdr:col>0</xdr:col>
      <xdr:colOff>220980</xdr:colOff>
      <xdr:row>0</xdr:row>
      <xdr:rowOff>68580</xdr:rowOff>
    </xdr:from>
    <xdr:to>
      <xdr:col>2</xdr:col>
      <xdr:colOff>579120</xdr:colOff>
      <xdr:row>7</xdr:row>
      <xdr:rowOff>155805</xdr:rowOff>
    </xdr:to>
    <xdr:pic>
      <xdr:nvPicPr>
        <xdr:cNvPr id="8" name="Picture 7">
          <a:extLst>
            <a:ext uri="{FF2B5EF4-FFF2-40B4-BE49-F238E27FC236}">
              <a16:creationId xmlns:a16="http://schemas.microsoft.com/office/drawing/2014/main" id="{5FF6BF4E-868C-4DB6-B9B4-BDC8635C5D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980" y="68580"/>
          <a:ext cx="1577340" cy="1310640"/>
        </a:xfrm>
        <a:prstGeom prst="rect">
          <a:avLst/>
        </a:prstGeom>
      </xdr:spPr>
    </xdr:pic>
    <xdr:clientData/>
  </xdr:twoCellAnchor>
  <xdr:twoCellAnchor>
    <xdr:from>
      <xdr:col>3</xdr:col>
      <xdr:colOff>186447</xdr:colOff>
      <xdr:row>5</xdr:row>
      <xdr:rowOff>0</xdr:rowOff>
    </xdr:from>
    <xdr:to>
      <xdr:col>6</xdr:col>
      <xdr:colOff>235085</xdr:colOff>
      <xdr:row>10</xdr:row>
      <xdr:rowOff>64851</xdr:rowOff>
    </xdr:to>
    <xdr:sp macro="" textlink="">
      <xdr:nvSpPr>
        <xdr:cNvPr id="15" name="Rectangle 14">
          <a:extLst>
            <a:ext uri="{FF2B5EF4-FFF2-40B4-BE49-F238E27FC236}">
              <a16:creationId xmlns:a16="http://schemas.microsoft.com/office/drawing/2014/main" id="{C8FBEEE1-7A2E-7058-A84F-84E24C8DF3D5}"/>
            </a:ext>
          </a:extLst>
        </xdr:cNvPr>
        <xdr:cNvSpPr/>
      </xdr:nvSpPr>
      <xdr:spPr>
        <a:xfrm>
          <a:off x="2010383" y="891702"/>
          <a:ext cx="1872574" cy="956553"/>
        </a:xfrm>
        <a:prstGeom prst="rect">
          <a:avLst/>
        </a:prstGeom>
        <a:gradFill>
          <a:gsLst>
            <a:gs pos="0">
              <a:srgbClr val="00FFFF"/>
            </a:gs>
            <a:gs pos="100000">
              <a:schemeClr val="accent1">
                <a:lumMod val="45000"/>
                <a:lumOff val="55000"/>
              </a:schemeClr>
            </a:gs>
            <a:gs pos="100000">
              <a:srgbClr val="115B67"/>
            </a:gs>
            <a:gs pos="100000">
              <a:schemeClr val="accent1">
                <a:lumMod val="30000"/>
                <a:lumOff val="70000"/>
              </a:schemeClr>
            </a:gs>
          </a:gsLst>
          <a:lin ang="5400000" scaled="1"/>
        </a:gra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210767</xdr:colOff>
      <xdr:row>7</xdr:row>
      <xdr:rowOff>162127</xdr:rowOff>
    </xdr:from>
    <xdr:to>
      <xdr:col>6</xdr:col>
      <xdr:colOff>218873</xdr:colOff>
      <xdr:row>9</xdr:row>
      <xdr:rowOff>154022</xdr:rowOff>
    </xdr:to>
    <xdr:sp macro="" textlink="">
      <xdr:nvSpPr>
        <xdr:cNvPr id="18" name="TextBox 17">
          <a:extLst>
            <a:ext uri="{FF2B5EF4-FFF2-40B4-BE49-F238E27FC236}">
              <a16:creationId xmlns:a16="http://schemas.microsoft.com/office/drawing/2014/main" id="{025B65E1-E129-5E59-B321-CC98D81A873D}"/>
            </a:ext>
          </a:extLst>
        </xdr:cNvPr>
        <xdr:cNvSpPr txBox="1"/>
      </xdr:nvSpPr>
      <xdr:spPr>
        <a:xfrm>
          <a:off x="2034703" y="1467255"/>
          <a:ext cx="1832042" cy="36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a:ln w="0">
                <a:noFill/>
              </a:ln>
              <a:solidFill>
                <a:schemeClr val="tx2"/>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Total Employee</a:t>
          </a:r>
        </a:p>
      </xdr:txBody>
    </xdr:sp>
    <xdr:clientData/>
  </xdr:twoCellAnchor>
  <xdr:twoCellAnchor>
    <xdr:from>
      <xdr:col>6</xdr:col>
      <xdr:colOff>356681</xdr:colOff>
      <xdr:row>5</xdr:row>
      <xdr:rowOff>8107</xdr:rowOff>
    </xdr:from>
    <xdr:to>
      <xdr:col>9</xdr:col>
      <xdr:colOff>486383</xdr:colOff>
      <xdr:row>10</xdr:row>
      <xdr:rowOff>72959</xdr:rowOff>
    </xdr:to>
    <xdr:sp macro="" textlink="">
      <xdr:nvSpPr>
        <xdr:cNvPr id="20" name="Rectangle 19">
          <a:extLst>
            <a:ext uri="{FF2B5EF4-FFF2-40B4-BE49-F238E27FC236}">
              <a16:creationId xmlns:a16="http://schemas.microsoft.com/office/drawing/2014/main" id="{727C1F0E-59B1-406A-8AD2-39B19FBEF655}"/>
            </a:ext>
          </a:extLst>
        </xdr:cNvPr>
        <xdr:cNvSpPr/>
      </xdr:nvSpPr>
      <xdr:spPr>
        <a:xfrm>
          <a:off x="4004553" y="899809"/>
          <a:ext cx="1953639" cy="956554"/>
        </a:xfrm>
        <a:prstGeom prst="rect">
          <a:avLst/>
        </a:prstGeom>
        <a:gradFill>
          <a:gsLst>
            <a:gs pos="0">
              <a:srgbClr val="00FFFF"/>
            </a:gs>
            <a:gs pos="100000">
              <a:schemeClr val="accent1">
                <a:lumMod val="45000"/>
                <a:lumOff val="55000"/>
              </a:schemeClr>
            </a:gs>
            <a:gs pos="100000">
              <a:srgbClr val="115B67"/>
            </a:gs>
            <a:gs pos="100000">
              <a:schemeClr val="accent1">
                <a:lumMod val="30000"/>
                <a:lumOff val="70000"/>
              </a:schemeClr>
            </a:gs>
          </a:gsLst>
          <a:lin ang="5400000" scaled="1"/>
        </a:gra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mbria" panose="02040503050406030204" pitchFamily="18" charset="0"/>
            <a:ea typeface="Cambria" panose="02040503050406030204" pitchFamily="18" charset="0"/>
          </a:endParaRPr>
        </a:p>
      </xdr:txBody>
    </xdr:sp>
    <xdr:clientData/>
  </xdr:twoCellAnchor>
  <xdr:twoCellAnchor>
    <xdr:from>
      <xdr:col>10</xdr:col>
      <xdr:colOff>8107</xdr:colOff>
      <xdr:row>5</xdr:row>
      <xdr:rowOff>8106</xdr:rowOff>
    </xdr:from>
    <xdr:to>
      <xdr:col>13</xdr:col>
      <xdr:colOff>113490</xdr:colOff>
      <xdr:row>10</xdr:row>
      <xdr:rowOff>72958</xdr:rowOff>
    </xdr:to>
    <xdr:sp macro="" textlink="">
      <xdr:nvSpPr>
        <xdr:cNvPr id="21" name="Rectangle 20">
          <a:extLst>
            <a:ext uri="{FF2B5EF4-FFF2-40B4-BE49-F238E27FC236}">
              <a16:creationId xmlns:a16="http://schemas.microsoft.com/office/drawing/2014/main" id="{0C58CC84-9ABA-4515-B2F3-6A0BD92C913C}"/>
            </a:ext>
          </a:extLst>
        </xdr:cNvPr>
        <xdr:cNvSpPr/>
      </xdr:nvSpPr>
      <xdr:spPr>
        <a:xfrm>
          <a:off x="6087894" y="899808"/>
          <a:ext cx="1929319" cy="956554"/>
        </a:xfrm>
        <a:prstGeom prst="rect">
          <a:avLst/>
        </a:prstGeom>
        <a:gradFill>
          <a:gsLst>
            <a:gs pos="0">
              <a:srgbClr val="00FFFF"/>
            </a:gs>
            <a:gs pos="100000">
              <a:schemeClr val="accent1">
                <a:lumMod val="45000"/>
                <a:lumOff val="55000"/>
              </a:schemeClr>
            </a:gs>
            <a:gs pos="100000">
              <a:srgbClr val="115B67"/>
            </a:gs>
            <a:gs pos="100000">
              <a:schemeClr val="accent1">
                <a:lumMod val="30000"/>
                <a:lumOff val="70000"/>
              </a:schemeClr>
            </a:gs>
          </a:gsLst>
          <a:lin ang="5400000" scaled="1"/>
        </a:gra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243193</xdr:colOff>
      <xdr:row>5</xdr:row>
      <xdr:rowOff>0</xdr:rowOff>
    </xdr:from>
    <xdr:to>
      <xdr:col>16</xdr:col>
      <xdr:colOff>389106</xdr:colOff>
      <xdr:row>10</xdr:row>
      <xdr:rowOff>72957</xdr:rowOff>
    </xdr:to>
    <xdr:sp macro="" textlink="">
      <xdr:nvSpPr>
        <xdr:cNvPr id="22" name="Rectangle 21">
          <a:extLst>
            <a:ext uri="{FF2B5EF4-FFF2-40B4-BE49-F238E27FC236}">
              <a16:creationId xmlns:a16="http://schemas.microsoft.com/office/drawing/2014/main" id="{FB134F44-3113-42BB-A41F-6F7E0C0B1711}"/>
            </a:ext>
          </a:extLst>
        </xdr:cNvPr>
        <xdr:cNvSpPr/>
      </xdr:nvSpPr>
      <xdr:spPr>
        <a:xfrm>
          <a:off x="8146916" y="932234"/>
          <a:ext cx="1969850" cy="1005191"/>
        </a:xfrm>
        <a:prstGeom prst="rect">
          <a:avLst/>
        </a:prstGeom>
        <a:gradFill>
          <a:gsLst>
            <a:gs pos="0">
              <a:srgbClr val="00FFFF"/>
            </a:gs>
            <a:gs pos="100000">
              <a:schemeClr val="accent1">
                <a:lumMod val="45000"/>
                <a:lumOff val="55000"/>
              </a:schemeClr>
            </a:gs>
            <a:gs pos="100000">
              <a:srgbClr val="115B67"/>
            </a:gs>
            <a:gs pos="100000">
              <a:schemeClr val="accent1">
                <a:lumMod val="30000"/>
                <a:lumOff val="70000"/>
              </a:schemeClr>
            </a:gs>
          </a:gsLst>
          <a:lin ang="5400000" scaled="1"/>
        </a:gra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486383</xdr:colOff>
      <xdr:row>5</xdr:row>
      <xdr:rowOff>8106</xdr:rowOff>
    </xdr:from>
    <xdr:to>
      <xdr:col>20</xdr:col>
      <xdr:colOff>8107</xdr:colOff>
      <xdr:row>10</xdr:row>
      <xdr:rowOff>56745</xdr:rowOff>
    </xdr:to>
    <xdr:sp macro="" textlink="">
      <xdr:nvSpPr>
        <xdr:cNvPr id="23" name="Rectangle 22">
          <a:extLst>
            <a:ext uri="{FF2B5EF4-FFF2-40B4-BE49-F238E27FC236}">
              <a16:creationId xmlns:a16="http://schemas.microsoft.com/office/drawing/2014/main" id="{45D137A9-4C67-489B-9A97-F973A631A1BB}"/>
            </a:ext>
          </a:extLst>
        </xdr:cNvPr>
        <xdr:cNvSpPr/>
      </xdr:nvSpPr>
      <xdr:spPr>
        <a:xfrm>
          <a:off x="10214043" y="899808"/>
          <a:ext cx="1953638" cy="940341"/>
        </a:xfrm>
        <a:prstGeom prst="rect">
          <a:avLst/>
        </a:prstGeom>
        <a:gradFill>
          <a:gsLst>
            <a:gs pos="0">
              <a:srgbClr val="00FFFF"/>
            </a:gs>
            <a:gs pos="100000">
              <a:schemeClr val="accent1">
                <a:lumMod val="45000"/>
                <a:lumOff val="55000"/>
              </a:schemeClr>
            </a:gs>
            <a:gs pos="100000">
              <a:srgbClr val="115B67"/>
            </a:gs>
            <a:gs pos="100000">
              <a:schemeClr val="accent1">
                <a:lumMod val="30000"/>
                <a:lumOff val="70000"/>
              </a:schemeClr>
            </a:gs>
          </a:gsLst>
          <a:lin ang="5400000" scaled="1"/>
        </a:gra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324255</xdr:colOff>
      <xdr:row>5</xdr:row>
      <xdr:rowOff>121595</xdr:rowOff>
    </xdr:from>
    <xdr:to>
      <xdr:col>6</xdr:col>
      <xdr:colOff>129703</xdr:colOff>
      <xdr:row>8</xdr:row>
      <xdr:rowOff>56744</xdr:rowOff>
    </xdr:to>
    <xdr:sp macro="" textlink="'Pivot table'!B5">
      <xdr:nvSpPr>
        <xdr:cNvPr id="25" name="TextBox 24">
          <a:extLst>
            <a:ext uri="{FF2B5EF4-FFF2-40B4-BE49-F238E27FC236}">
              <a16:creationId xmlns:a16="http://schemas.microsoft.com/office/drawing/2014/main" id="{901B1682-6B14-F4A3-1E37-ACE7EF96A0F6}"/>
            </a:ext>
          </a:extLst>
        </xdr:cNvPr>
        <xdr:cNvSpPr txBox="1"/>
      </xdr:nvSpPr>
      <xdr:spPr>
        <a:xfrm>
          <a:off x="2148191" y="1053829"/>
          <a:ext cx="1629384" cy="494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2D6FA5-4FB1-4F81-8E1F-F8A77EE9EDE2}" type="TxLink">
            <a:rPr lang="en-US" sz="2000" b="1" i="0" u="none" strike="noStrike">
              <a:solidFill>
                <a:srgbClr val="000000"/>
              </a:solidFill>
              <a:latin typeface="Cambria" panose="02040503050406030204" pitchFamily="18" charset="0"/>
              <a:ea typeface="Cambria" panose="02040503050406030204" pitchFamily="18" charset="0"/>
            </a:rPr>
            <a:pPr algn="ctr"/>
            <a:t>89</a:t>
          </a:fld>
          <a:endParaRPr lang="en-US" sz="2000" b="1">
            <a:latin typeface="Cambria" panose="02040503050406030204" pitchFamily="18" charset="0"/>
            <a:ea typeface="Cambria" panose="02040503050406030204" pitchFamily="18" charset="0"/>
          </a:endParaRPr>
        </a:p>
      </xdr:txBody>
    </xdr:sp>
    <xdr:clientData/>
  </xdr:twoCellAnchor>
  <xdr:twoCellAnchor>
    <xdr:from>
      <xdr:col>7</xdr:col>
      <xdr:colOff>129702</xdr:colOff>
      <xdr:row>5</xdr:row>
      <xdr:rowOff>137808</xdr:rowOff>
    </xdr:from>
    <xdr:to>
      <xdr:col>9</xdr:col>
      <xdr:colOff>372893</xdr:colOff>
      <xdr:row>8</xdr:row>
      <xdr:rowOff>81064</xdr:rowOff>
    </xdr:to>
    <xdr:sp macro="" textlink="'Pivot table'!B6">
      <xdr:nvSpPr>
        <xdr:cNvPr id="26" name="TextBox 25">
          <a:extLst>
            <a:ext uri="{FF2B5EF4-FFF2-40B4-BE49-F238E27FC236}">
              <a16:creationId xmlns:a16="http://schemas.microsoft.com/office/drawing/2014/main" id="{2C9AA85C-3B75-878B-D223-5D3E518BA206}"/>
            </a:ext>
          </a:extLst>
        </xdr:cNvPr>
        <xdr:cNvSpPr txBox="1"/>
      </xdr:nvSpPr>
      <xdr:spPr>
        <a:xfrm>
          <a:off x="4385553" y="1070042"/>
          <a:ext cx="1459149" cy="502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258BE9-BBD0-43E1-A814-0B9D653F968B}" type="TxLink">
            <a:rPr lang="en-US" sz="2000" b="1" i="0" u="none" strike="noStrike">
              <a:solidFill>
                <a:srgbClr val="000000"/>
              </a:solidFill>
              <a:latin typeface="Cambria" panose="02040503050406030204" pitchFamily="18" charset="0"/>
              <a:ea typeface="Cambria" panose="02040503050406030204" pitchFamily="18" charset="0"/>
            </a:rPr>
            <a:pPr algn="ctr"/>
            <a:t>91.86%</a:t>
          </a:fld>
          <a:endParaRPr lang="en-US" sz="2000" b="1">
            <a:latin typeface="Cambria" panose="02040503050406030204" pitchFamily="18" charset="0"/>
            <a:ea typeface="Cambria" panose="02040503050406030204" pitchFamily="18" charset="0"/>
          </a:endParaRPr>
        </a:p>
      </xdr:txBody>
    </xdr:sp>
    <xdr:clientData/>
  </xdr:twoCellAnchor>
  <xdr:twoCellAnchor>
    <xdr:from>
      <xdr:col>6</xdr:col>
      <xdr:colOff>494490</xdr:colOff>
      <xdr:row>7</xdr:row>
      <xdr:rowOff>129702</xdr:rowOff>
    </xdr:from>
    <xdr:to>
      <xdr:col>9</xdr:col>
      <xdr:colOff>494489</xdr:colOff>
      <xdr:row>9</xdr:row>
      <xdr:rowOff>186446</xdr:rowOff>
    </xdr:to>
    <xdr:sp macro="" textlink="">
      <xdr:nvSpPr>
        <xdr:cNvPr id="27" name="TextBox 26">
          <a:extLst>
            <a:ext uri="{FF2B5EF4-FFF2-40B4-BE49-F238E27FC236}">
              <a16:creationId xmlns:a16="http://schemas.microsoft.com/office/drawing/2014/main" id="{9897F1ED-249D-6BBB-7C4B-7DE37B5737E4}"/>
            </a:ext>
          </a:extLst>
        </xdr:cNvPr>
        <xdr:cNvSpPr txBox="1"/>
      </xdr:nvSpPr>
      <xdr:spPr>
        <a:xfrm>
          <a:off x="4142362" y="1434830"/>
          <a:ext cx="1823936" cy="42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a:ln w="0">
                <a:noFill/>
              </a:ln>
              <a:solidFill>
                <a:schemeClr val="tx2"/>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mn-cs"/>
            </a:rPr>
            <a:t>Avg Productivity</a:t>
          </a:r>
        </a:p>
      </xdr:txBody>
    </xdr:sp>
    <xdr:clientData/>
  </xdr:twoCellAnchor>
  <xdr:twoCellAnchor>
    <xdr:from>
      <xdr:col>3</xdr:col>
      <xdr:colOff>202661</xdr:colOff>
      <xdr:row>11</xdr:row>
      <xdr:rowOff>56745</xdr:rowOff>
    </xdr:from>
    <xdr:to>
      <xdr:col>7</xdr:col>
      <xdr:colOff>137810</xdr:colOff>
      <xdr:row>28</xdr:row>
      <xdr:rowOff>40533</xdr:rowOff>
    </xdr:to>
    <xdr:graphicFrame macro="">
      <xdr:nvGraphicFramePr>
        <xdr:cNvPr id="29" name="Chart 28">
          <a:extLst>
            <a:ext uri="{FF2B5EF4-FFF2-40B4-BE49-F238E27FC236}">
              <a16:creationId xmlns:a16="http://schemas.microsoft.com/office/drawing/2014/main" id="{FCCCC101-43C8-45D6-880A-92EF0F293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113490</xdr:colOff>
      <xdr:row>7</xdr:row>
      <xdr:rowOff>162127</xdr:rowOff>
    </xdr:from>
    <xdr:to>
      <xdr:col>13</xdr:col>
      <xdr:colOff>81063</xdr:colOff>
      <xdr:row>9</xdr:row>
      <xdr:rowOff>178342</xdr:rowOff>
    </xdr:to>
    <xdr:sp macro="" textlink="">
      <xdr:nvSpPr>
        <xdr:cNvPr id="6" name="TextBox 5">
          <a:extLst>
            <a:ext uri="{FF2B5EF4-FFF2-40B4-BE49-F238E27FC236}">
              <a16:creationId xmlns:a16="http://schemas.microsoft.com/office/drawing/2014/main" id="{54CFF087-78ED-D702-A48C-360C5BC8390A}"/>
            </a:ext>
          </a:extLst>
        </xdr:cNvPr>
        <xdr:cNvSpPr txBox="1"/>
      </xdr:nvSpPr>
      <xdr:spPr>
        <a:xfrm>
          <a:off x="6193277" y="1467255"/>
          <a:ext cx="1791509" cy="389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cap="none" spc="0">
              <a:ln w="0">
                <a:noFill/>
              </a:ln>
              <a:solidFill>
                <a:schemeClr val="tx2"/>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mn-cs"/>
            </a:rPr>
            <a:t>Avg Achievement</a:t>
          </a:r>
        </a:p>
      </xdr:txBody>
    </xdr:sp>
    <xdr:clientData/>
  </xdr:twoCellAnchor>
  <xdr:twoCellAnchor>
    <xdr:from>
      <xdr:col>10</xdr:col>
      <xdr:colOff>308043</xdr:colOff>
      <xdr:row>5</xdr:row>
      <xdr:rowOff>121597</xdr:rowOff>
    </xdr:from>
    <xdr:to>
      <xdr:col>12</xdr:col>
      <xdr:colOff>445851</xdr:colOff>
      <xdr:row>8</xdr:row>
      <xdr:rowOff>32427</xdr:rowOff>
    </xdr:to>
    <xdr:sp macro="" textlink="'Pivot table'!B7">
      <xdr:nvSpPr>
        <xdr:cNvPr id="7" name="TextBox 6">
          <a:extLst>
            <a:ext uri="{FF2B5EF4-FFF2-40B4-BE49-F238E27FC236}">
              <a16:creationId xmlns:a16="http://schemas.microsoft.com/office/drawing/2014/main" id="{0264C597-5924-BDBF-8C87-98FC6244B7A2}"/>
            </a:ext>
          </a:extLst>
        </xdr:cNvPr>
        <xdr:cNvSpPr txBox="1"/>
      </xdr:nvSpPr>
      <xdr:spPr>
        <a:xfrm>
          <a:off x="6387830" y="1053831"/>
          <a:ext cx="1353766" cy="470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287730-CCF0-4410-8FFB-744D18EB92CB}" type="TxLink">
            <a:rPr lang="en-US" sz="2000" b="1" i="0" u="none" strike="noStrike">
              <a:solidFill>
                <a:srgbClr val="000000"/>
              </a:solidFill>
              <a:latin typeface="Cambria" panose="02040503050406030204" pitchFamily="18" charset="0"/>
              <a:ea typeface="Cambria" panose="02040503050406030204" pitchFamily="18" charset="0"/>
            </a:rPr>
            <a:pPr algn="ctr"/>
            <a:t>90.62%</a:t>
          </a:fld>
          <a:endParaRPr lang="en-US" sz="2000" b="1">
            <a:latin typeface="Cambria" panose="02040503050406030204" pitchFamily="18" charset="0"/>
            <a:ea typeface="Cambria" panose="02040503050406030204" pitchFamily="18" charset="0"/>
          </a:endParaRPr>
        </a:p>
      </xdr:txBody>
    </xdr:sp>
    <xdr:clientData/>
  </xdr:twoCellAnchor>
  <xdr:twoCellAnchor>
    <xdr:from>
      <xdr:col>13</xdr:col>
      <xdr:colOff>308043</xdr:colOff>
      <xdr:row>7</xdr:row>
      <xdr:rowOff>105383</xdr:rowOff>
    </xdr:from>
    <xdr:to>
      <xdr:col>16</xdr:col>
      <xdr:colOff>348574</xdr:colOff>
      <xdr:row>10</xdr:row>
      <xdr:rowOff>16213</xdr:rowOff>
    </xdr:to>
    <xdr:sp macro="" textlink="">
      <xdr:nvSpPr>
        <xdr:cNvPr id="9" name="TextBox 8">
          <a:extLst>
            <a:ext uri="{FF2B5EF4-FFF2-40B4-BE49-F238E27FC236}">
              <a16:creationId xmlns:a16="http://schemas.microsoft.com/office/drawing/2014/main" id="{F6056EEF-C3A4-8DBE-4D35-F90809EACEBC}"/>
            </a:ext>
          </a:extLst>
        </xdr:cNvPr>
        <xdr:cNvSpPr txBox="1"/>
      </xdr:nvSpPr>
      <xdr:spPr>
        <a:xfrm>
          <a:off x="8211766" y="1410511"/>
          <a:ext cx="1864468" cy="470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cap="none" spc="0">
              <a:ln w="0">
                <a:noFill/>
              </a:ln>
              <a:solidFill>
                <a:schemeClr val="tx2"/>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mn-cs"/>
            </a:rPr>
            <a:t>Total completed tasks</a:t>
          </a:r>
        </a:p>
      </xdr:txBody>
    </xdr:sp>
    <xdr:clientData/>
  </xdr:twoCellAnchor>
  <xdr:twoCellAnchor>
    <xdr:from>
      <xdr:col>13</xdr:col>
      <xdr:colOff>453958</xdr:colOff>
      <xdr:row>5</xdr:row>
      <xdr:rowOff>145915</xdr:rowOff>
    </xdr:from>
    <xdr:to>
      <xdr:col>16</xdr:col>
      <xdr:colOff>170234</xdr:colOff>
      <xdr:row>7</xdr:row>
      <xdr:rowOff>145915</xdr:rowOff>
    </xdr:to>
    <xdr:sp macro="" textlink="'Pivot table'!B8">
      <xdr:nvSpPr>
        <xdr:cNvPr id="10" name="TextBox 9">
          <a:extLst>
            <a:ext uri="{FF2B5EF4-FFF2-40B4-BE49-F238E27FC236}">
              <a16:creationId xmlns:a16="http://schemas.microsoft.com/office/drawing/2014/main" id="{0AD0B463-1C7C-C5E6-D468-FDA7B4A48394}"/>
            </a:ext>
          </a:extLst>
        </xdr:cNvPr>
        <xdr:cNvSpPr txBox="1"/>
      </xdr:nvSpPr>
      <xdr:spPr>
        <a:xfrm>
          <a:off x="8357681" y="1078149"/>
          <a:ext cx="1540213" cy="37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0DE8A5-7674-4EAC-8BF6-F82F692DEF33}" type="TxLink">
            <a:rPr lang="en-US" sz="2000" b="1" i="0" u="none" strike="noStrike">
              <a:solidFill>
                <a:srgbClr val="000000"/>
              </a:solidFill>
              <a:latin typeface="Cambria" panose="02040503050406030204" pitchFamily="18" charset="0"/>
              <a:ea typeface="Cambria" panose="02040503050406030204" pitchFamily="18" charset="0"/>
            </a:rPr>
            <a:pPr algn="ctr"/>
            <a:t>1177</a:t>
          </a:fld>
          <a:endParaRPr lang="en-US" sz="2000" b="1">
            <a:latin typeface="Cambria" panose="02040503050406030204" pitchFamily="18" charset="0"/>
            <a:ea typeface="Cambria" panose="02040503050406030204" pitchFamily="18" charset="0"/>
          </a:endParaRPr>
        </a:p>
      </xdr:txBody>
    </xdr:sp>
    <xdr:clientData/>
  </xdr:twoCellAnchor>
  <xdr:twoCellAnchor>
    <xdr:from>
      <xdr:col>17</xdr:col>
      <xdr:colOff>129703</xdr:colOff>
      <xdr:row>5</xdr:row>
      <xdr:rowOff>105383</xdr:rowOff>
    </xdr:from>
    <xdr:to>
      <xdr:col>19</xdr:col>
      <xdr:colOff>348575</xdr:colOff>
      <xdr:row>8</xdr:row>
      <xdr:rowOff>8107</xdr:rowOff>
    </xdr:to>
    <xdr:sp macro="" textlink="'Pivot table'!B9">
      <xdr:nvSpPr>
        <xdr:cNvPr id="12" name="TextBox 11">
          <a:extLst>
            <a:ext uri="{FF2B5EF4-FFF2-40B4-BE49-F238E27FC236}">
              <a16:creationId xmlns:a16="http://schemas.microsoft.com/office/drawing/2014/main" id="{7D753E16-BCBC-1581-22EA-A62CF4E9DC0E}"/>
            </a:ext>
          </a:extLst>
        </xdr:cNvPr>
        <xdr:cNvSpPr txBox="1"/>
      </xdr:nvSpPr>
      <xdr:spPr>
        <a:xfrm>
          <a:off x="10465341" y="1037617"/>
          <a:ext cx="1434830" cy="4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95250D-A778-457A-8DCD-988DD87720AD}" type="TxLink">
            <a:rPr lang="en-US" sz="2000" b="1" i="0" u="none" strike="noStrike">
              <a:solidFill>
                <a:srgbClr val="000000"/>
              </a:solidFill>
              <a:latin typeface="Cambria" panose="02040503050406030204" pitchFamily="18" charset="0"/>
              <a:ea typeface="Cambria" panose="02040503050406030204" pitchFamily="18" charset="0"/>
            </a:rPr>
            <a:pPr algn="ctr"/>
            <a:t>88.78%</a:t>
          </a:fld>
          <a:endParaRPr lang="en-US" sz="2000" b="1">
            <a:latin typeface="Cambria" panose="02040503050406030204" pitchFamily="18" charset="0"/>
            <a:ea typeface="Cambria" panose="02040503050406030204" pitchFamily="18" charset="0"/>
          </a:endParaRPr>
        </a:p>
      </xdr:txBody>
    </xdr:sp>
    <xdr:clientData/>
  </xdr:twoCellAnchor>
  <xdr:twoCellAnchor>
    <xdr:from>
      <xdr:col>16</xdr:col>
      <xdr:colOff>559341</xdr:colOff>
      <xdr:row>7</xdr:row>
      <xdr:rowOff>154021</xdr:rowOff>
    </xdr:from>
    <xdr:to>
      <xdr:col>19</xdr:col>
      <xdr:colOff>453957</xdr:colOff>
      <xdr:row>9</xdr:row>
      <xdr:rowOff>162128</xdr:rowOff>
    </xdr:to>
    <xdr:sp macro="" textlink="">
      <xdr:nvSpPr>
        <xdr:cNvPr id="13" name="TextBox 12">
          <a:extLst>
            <a:ext uri="{FF2B5EF4-FFF2-40B4-BE49-F238E27FC236}">
              <a16:creationId xmlns:a16="http://schemas.microsoft.com/office/drawing/2014/main" id="{10E5C769-A12C-D8F4-3575-D68FE4DD5970}"/>
            </a:ext>
          </a:extLst>
        </xdr:cNvPr>
        <xdr:cNvSpPr txBox="1"/>
      </xdr:nvSpPr>
      <xdr:spPr>
        <a:xfrm>
          <a:off x="10287001" y="1459149"/>
          <a:ext cx="171855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a:ln w="0">
                <a:noFill/>
              </a:ln>
              <a:solidFill>
                <a:schemeClr val="tx2"/>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mn-cs"/>
            </a:rPr>
            <a:t>Avg Quality Score</a:t>
          </a:r>
        </a:p>
      </xdr:txBody>
    </xdr:sp>
    <xdr:clientData/>
  </xdr:twoCellAnchor>
  <xdr:twoCellAnchor>
    <xdr:from>
      <xdr:col>7</xdr:col>
      <xdr:colOff>291830</xdr:colOff>
      <xdr:row>11</xdr:row>
      <xdr:rowOff>56745</xdr:rowOff>
    </xdr:from>
    <xdr:to>
      <xdr:col>14</xdr:col>
      <xdr:colOff>340468</xdr:colOff>
      <xdr:row>28</xdr:row>
      <xdr:rowOff>40532</xdr:rowOff>
    </xdr:to>
    <xdr:graphicFrame macro="">
      <xdr:nvGraphicFramePr>
        <xdr:cNvPr id="14" name="Chart 13">
          <a:extLst>
            <a:ext uri="{FF2B5EF4-FFF2-40B4-BE49-F238E27FC236}">
              <a16:creationId xmlns:a16="http://schemas.microsoft.com/office/drawing/2014/main" id="{69E9FED5-FFA8-46A4-AAA6-AA5105397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186449</xdr:colOff>
      <xdr:row>29</xdr:row>
      <xdr:rowOff>1</xdr:rowOff>
    </xdr:from>
    <xdr:to>
      <xdr:col>8</xdr:col>
      <xdr:colOff>81064</xdr:colOff>
      <xdr:row>40</xdr:row>
      <xdr:rowOff>56745</xdr:rowOff>
    </xdr:to>
    <xdr:graphicFrame macro="">
      <xdr:nvGraphicFramePr>
        <xdr:cNvPr id="16" name="Chart 15">
          <a:extLst>
            <a:ext uri="{FF2B5EF4-FFF2-40B4-BE49-F238E27FC236}">
              <a16:creationId xmlns:a16="http://schemas.microsoft.com/office/drawing/2014/main" id="{0A919051-735D-469D-B023-F715E5137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437745</xdr:colOff>
      <xdr:row>11</xdr:row>
      <xdr:rowOff>64851</xdr:rowOff>
    </xdr:from>
    <xdr:to>
      <xdr:col>23</xdr:col>
      <xdr:colOff>429638</xdr:colOff>
      <xdr:row>28</xdr:row>
      <xdr:rowOff>56745</xdr:rowOff>
    </xdr:to>
    <xdr:graphicFrame macro="">
      <xdr:nvGraphicFramePr>
        <xdr:cNvPr id="17" name="Chart 16">
          <a:extLst>
            <a:ext uri="{FF2B5EF4-FFF2-40B4-BE49-F238E27FC236}">
              <a16:creationId xmlns:a16="http://schemas.microsoft.com/office/drawing/2014/main" id="{48917177-EE33-4E00-8BF7-979C01035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220979</xdr:colOff>
      <xdr:row>29</xdr:row>
      <xdr:rowOff>8106</xdr:rowOff>
    </xdr:from>
    <xdr:to>
      <xdr:col>13</xdr:col>
      <xdr:colOff>299937</xdr:colOff>
      <xdr:row>40</xdr:row>
      <xdr:rowOff>72958</xdr:rowOff>
    </xdr:to>
    <xdr:graphicFrame macro="">
      <xdr:nvGraphicFramePr>
        <xdr:cNvPr id="19" name="Chart 18">
          <a:extLst>
            <a:ext uri="{FF2B5EF4-FFF2-40B4-BE49-F238E27FC236}">
              <a16:creationId xmlns:a16="http://schemas.microsoft.com/office/drawing/2014/main" id="{2EAABD3E-AD71-408A-90AA-41CE591AC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244166</xdr:colOff>
      <xdr:row>1</xdr:row>
      <xdr:rowOff>5027</xdr:rowOff>
    </xdr:from>
    <xdr:to>
      <xdr:col>4</xdr:col>
      <xdr:colOff>543129</xdr:colOff>
      <xdr:row>4</xdr:row>
      <xdr:rowOff>64851</xdr:rowOff>
    </xdr:to>
    <xdr:pic>
      <xdr:nvPicPr>
        <xdr:cNvPr id="24" name="Picture 23">
          <a:extLst>
            <a:ext uri="{FF2B5EF4-FFF2-40B4-BE49-F238E27FC236}">
              <a16:creationId xmlns:a16="http://schemas.microsoft.com/office/drawing/2014/main" id="{F9BF29D4-8A1C-4951-B680-E28B66C31565}"/>
            </a:ext>
          </a:extLst>
        </xdr:cNvPr>
        <xdr:cNvPicPr>
          <a:picLocks noChangeAspect="1"/>
        </xdr:cNvPicPr>
      </xdr:nvPicPr>
      <xdr:blipFill>
        <a:blip xmlns:r="http://schemas.openxmlformats.org/officeDocument/2006/relationships" r:embed="rId7" cstate="print">
          <a:alphaModFix amt="45000"/>
          <a:extLst>
            <a:ext uri="{28A0092B-C50C-407E-A947-70E740481C1C}">
              <a14:useLocalDpi xmlns:a14="http://schemas.microsoft.com/office/drawing/2010/main" val="0"/>
            </a:ext>
          </a:extLst>
        </a:blip>
        <a:stretch>
          <a:fillRect/>
        </a:stretch>
      </xdr:blipFill>
      <xdr:spPr>
        <a:xfrm>
          <a:off x="2068102" y="183367"/>
          <a:ext cx="906942" cy="594846"/>
        </a:xfrm>
        <a:prstGeom prst="rect">
          <a:avLst/>
        </a:prstGeom>
        <a:ln>
          <a:noFill/>
        </a:ln>
        <a:effectLst>
          <a:softEdge rad="112500"/>
        </a:effectLst>
      </xdr:spPr>
    </xdr:pic>
    <xdr:clientData/>
  </xdr:twoCellAnchor>
  <xdr:twoCellAnchor editAs="oneCell">
    <xdr:from>
      <xdr:col>22</xdr:col>
      <xdr:colOff>445850</xdr:colOff>
      <xdr:row>1</xdr:row>
      <xdr:rowOff>89172</xdr:rowOff>
    </xdr:from>
    <xdr:to>
      <xdr:col>23</xdr:col>
      <xdr:colOff>267510</xdr:colOff>
      <xdr:row>3</xdr:row>
      <xdr:rowOff>97277</xdr:rowOff>
    </xdr:to>
    <xdr:pic>
      <xdr:nvPicPr>
        <xdr:cNvPr id="28" name="Picture 27">
          <a:extLst>
            <a:ext uri="{FF2B5EF4-FFF2-40B4-BE49-F238E27FC236}">
              <a16:creationId xmlns:a16="http://schemas.microsoft.com/office/drawing/2014/main" id="{9BF03762-FD56-44FC-882B-1FE2627F3345}"/>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13821382" y="267512"/>
          <a:ext cx="429639" cy="364786"/>
        </a:xfrm>
        <a:prstGeom prst="rect">
          <a:avLst/>
        </a:prstGeom>
      </xdr:spPr>
    </xdr:pic>
    <xdr:clientData/>
  </xdr:twoCellAnchor>
  <xdr:twoCellAnchor>
    <xdr:from>
      <xdr:col>13</xdr:col>
      <xdr:colOff>445853</xdr:colOff>
      <xdr:row>29</xdr:row>
      <xdr:rowOff>8108</xdr:rowOff>
    </xdr:from>
    <xdr:to>
      <xdr:col>19</xdr:col>
      <xdr:colOff>437744</xdr:colOff>
      <xdr:row>40</xdr:row>
      <xdr:rowOff>72957</xdr:rowOff>
    </xdr:to>
    <xdr:graphicFrame macro="">
      <xdr:nvGraphicFramePr>
        <xdr:cNvPr id="33" name="Chart 32">
          <a:extLst>
            <a:ext uri="{FF2B5EF4-FFF2-40B4-BE49-F238E27FC236}">
              <a16:creationId xmlns:a16="http://schemas.microsoft.com/office/drawing/2014/main" id="{71447D45-A19A-4E2D-96BC-6576F67EB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194553</xdr:colOff>
      <xdr:row>3</xdr:row>
      <xdr:rowOff>72958</xdr:rowOff>
    </xdr:from>
    <xdr:to>
      <xdr:col>24</xdr:col>
      <xdr:colOff>32426</xdr:colOff>
      <xdr:row>4</xdr:row>
      <xdr:rowOff>72958</xdr:rowOff>
    </xdr:to>
    <xdr:sp macro="" textlink="">
      <xdr:nvSpPr>
        <xdr:cNvPr id="34" name="TextBox 33">
          <a:extLst>
            <a:ext uri="{FF2B5EF4-FFF2-40B4-BE49-F238E27FC236}">
              <a16:creationId xmlns:a16="http://schemas.microsoft.com/office/drawing/2014/main" id="{80121D11-4B32-5270-64CC-7DD50F2CF4C8}"/>
            </a:ext>
          </a:extLst>
        </xdr:cNvPr>
        <xdr:cNvSpPr txBox="1"/>
      </xdr:nvSpPr>
      <xdr:spPr>
        <a:xfrm>
          <a:off x="13570085" y="607979"/>
          <a:ext cx="1053830" cy="178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i="1">
              <a:solidFill>
                <a:schemeClr val="tx1"/>
              </a:solidFill>
              <a:latin typeface="Cambria" panose="02040503050406030204" pitchFamily="18" charset="0"/>
              <a:ea typeface="Cambria" panose="02040503050406030204" pitchFamily="18" charset="0"/>
            </a:rPr>
            <a:t>KAJAL</a:t>
          </a:r>
          <a:r>
            <a:rPr lang="en-US" sz="700" b="0" i="1" baseline="0">
              <a:solidFill>
                <a:schemeClr val="tx1"/>
              </a:solidFill>
              <a:latin typeface="Cambria" panose="02040503050406030204" pitchFamily="18" charset="0"/>
              <a:ea typeface="Cambria" panose="02040503050406030204" pitchFamily="18" charset="0"/>
            </a:rPr>
            <a:t> </a:t>
          </a:r>
          <a:r>
            <a:rPr lang="en-US" sz="600" b="1" i="1" baseline="0">
              <a:solidFill>
                <a:schemeClr val="tx1"/>
              </a:solidFill>
              <a:latin typeface="Cambria" panose="02040503050406030204" pitchFamily="18" charset="0"/>
              <a:ea typeface="Cambria" panose="02040503050406030204" pitchFamily="18" charset="0"/>
            </a:rPr>
            <a:t>PRAJAPATI</a:t>
          </a:r>
          <a:endParaRPr lang="en-US" sz="700" b="1" i="1">
            <a:solidFill>
              <a:schemeClr val="tx1"/>
            </a:solidFill>
            <a:latin typeface="Cambria" panose="02040503050406030204" pitchFamily="18" charset="0"/>
            <a:ea typeface="Cambria" panose="02040503050406030204" pitchFamily="18" charset="0"/>
          </a:endParaRPr>
        </a:p>
      </xdr:txBody>
    </xdr:sp>
    <xdr:clientData/>
  </xdr:twoCellAnchor>
  <xdr:twoCellAnchor editAs="oneCell">
    <xdr:from>
      <xdr:col>0</xdr:col>
      <xdr:colOff>275616</xdr:colOff>
      <xdr:row>14</xdr:row>
      <xdr:rowOff>48640</xdr:rowOff>
    </xdr:from>
    <xdr:to>
      <xdr:col>2</xdr:col>
      <xdr:colOff>551233</xdr:colOff>
      <xdr:row>22</xdr:row>
      <xdr:rowOff>89171</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637E93D1-4D85-4DA9-9EC7-76CCA4FCB30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5616" y="2545406"/>
              <a:ext cx="1491574" cy="1467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293923</xdr:colOff>
      <xdr:row>23</xdr:row>
      <xdr:rowOff>16213</xdr:rowOff>
    </xdr:from>
    <xdr:to>
      <xdr:col>2</xdr:col>
      <xdr:colOff>567447</xdr:colOff>
      <xdr:row>35</xdr:row>
      <xdr:rowOff>48638</xdr:rowOff>
    </xdr:to>
    <mc:AlternateContent xmlns:mc="http://schemas.openxmlformats.org/markup-compatibility/2006">
      <mc:Choice xmlns:a14="http://schemas.microsoft.com/office/drawing/2010/main" Requires="a14">
        <xdr:graphicFrame macro="">
          <xdr:nvGraphicFramePr>
            <xdr:cNvPr id="30" name="Department">
              <a:extLst>
                <a:ext uri="{FF2B5EF4-FFF2-40B4-BE49-F238E27FC236}">
                  <a16:creationId xmlns:a16="http://schemas.microsoft.com/office/drawing/2014/main" id="{2F7E5086-72A6-44F4-B4CA-93D7984BCEE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93923" y="4118043"/>
              <a:ext cx="1489481" cy="2172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559340</xdr:colOff>
      <xdr:row>29</xdr:row>
      <xdr:rowOff>18483</xdr:rowOff>
    </xdr:from>
    <xdr:to>
      <xdr:col>24</xdr:col>
      <xdr:colOff>24320</xdr:colOff>
      <xdr:row>40</xdr:row>
      <xdr:rowOff>81063</xdr:rowOff>
    </xdr:to>
    <xdr:graphicFrame macro="">
      <xdr:nvGraphicFramePr>
        <xdr:cNvPr id="31" name="Chart 30">
          <a:extLst>
            <a:ext uri="{FF2B5EF4-FFF2-40B4-BE49-F238E27FC236}">
              <a16:creationId xmlns:a16="http://schemas.microsoft.com/office/drawing/2014/main" id="{20F51245-B0FB-4D98-B046-97FC18F24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285818</xdr:colOff>
      <xdr:row>9</xdr:row>
      <xdr:rowOff>155317</xdr:rowOff>
    </xdr:from>
    <xdr:to>
      <xdr:col>2</xdr:col>
      <xdr:colOff>543128</xdr:colOff>
      <xdr:row>13</xdr:row>
      <xdr:rowOff>89168</xdr:rowOff>
    </xdr:to>
    <mc:AlternateContent xmlns:mc="http://schemas.openxmlformats.org/markup-compatibility/2006">
      <mc:Choice xmlns:a14="http://schemas.microsoft.com/office/drawing/2010/main" Requires="a14">
        <xdr:graphicFrame macro="">
          <xdr:nvGraphicFramePr>
            <xdr:cNvPr id="32" name="Region">
              <a:extLst>
                <a:ext uri="{FF2B5EF4-FFF2-40B4-BE49-F238E27FC236}">
                  <a16:creationId xmlns:a16="http://schemas.microsoft.com/office/drawing/2014/main" id="{EE9E59D1-247F-4185-8656-08064369A6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5818" y="1760381"/>
              <a:ext cx="1473267" cy="647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154022</xdr:colOff>
      <xdr:row>5</xdr:row>
      <xdr:rowOff>0</xdr:rowOff>
    </xdr:from>
    <xdr:to>
      <xdr:col>23</xdr:col>
      <xdr:colOff>188553</xdr:colOff>
      <xdr:row>10</xdr:row>
      <xdr:rowOff>48639</xdr:rowOff>
    </xdr:to>
    <xdr:sp macro="" textlink="">
      <xdr:nvSpPr>
        <xdr:cNvPr id="35" name="Rectangle 34">
          <a:extLst>
            <a:ext uri="{FF2B5EF4-FFF2-40B4-BE49-F238E27FC236}">
              <a16:creationId xmlns:a16="http://schemas.microsoft.com/office/drawing/2014/main" id="{A0668C30-1116-4A1B-8623-E28399DF97B6}"/>
            </a:ext>
          </a:extLst>
        </xdr:cNvPr>
        <xdr:cNvSpPr/>
      </xdr:nvSpPr>
      <xdr:spPr>
        <a:xfrm>
          <a:off x="12313596" y="891702"/>
          <a:ext cx="1858468" cy="940341"/>
        </a:xfrm>
        <a:prstGeom prst="rect">
          <a:avLst/>
        </a:prstGeom>
        <a:gradFill>
          <a:gsLst>
            <a:gs pos="0">
              <a:srgbClr val="00FFFF"/>
            </a:gs>
            <a:gs pos="100000">
              <a:schemeClr val="accent1">
                <a:lumMod val="45000"/>
                <a:lumOff val="55000"/>
              </a:schemeClr>
            </a:gs>
            <a:gs pos="100000">
              <a:srgbClr val="115B67"/>
            </a:gs>
            <a:gs pos="100000">
              <a:schemeClr val="accent1">
                <a:lumMod val="30000"/>
                <a:lumOff val="70000"/>
              </a:schemeClr>
            </a:gs>
          </a:gsLst>
          <a:lin ang="5400000" scaled="1"/>
        </a:gra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20</xdr:col>
      <xdr:colOff>170235</xdr:colOff>
      <xdr:row>8</xdr:row>
      <xdr:rowOff>8107</xdr:rowOff>
    </xdr:from>
    <xdr:to>
      <xdr:col>23</xdr:col>
      <xdr:colOff>162127</xdr:colOff>
      <xdr:row>9</xdr:row>
      <xdr:rowOff>121596</xdr:rowOff>
    </xdr:to>
    <xdr:sp macro="" textlink="">
      <xdr:nvSpPr>
        <xdr:cNvPr id="37" name="TextBox 36">
          <a:extLst>
            <a:ext uri="{FF2B5EF4-FFF2-40B4-BE49-F238E27FC236}">
              <a16:creationId xmlns:a16="http://schemas.microsoft.com/office/drawing/2014/main" id="{7E7742B2-733F-51C5-B758-4EDF585F6A9A}"/>
            </a:ext>
          </a:extLst>
        </xdr:cNvPr>
        <xdr:cNvSpPr txBox="1"/>
      </xdr:nvSpPr>
      <xdr:spPr>
        <a:xfrm>
          <a:off x="12329809" y="1434830"/>
          <a:ext cx="1815829" cy="291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cap="none" spc="0">
              <a:ln w="0">
                <a:noFill/>
              </a:ln>
              <a:solidFill>
                <a:schemeClr val="tx2"/>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mn-cs"/>
            </a:rPr>
            <a:t>Total</a:t>
          </a:r>
          <a:r>
            <a:rPr lang="en-US" sz="1200" b="1" cap="none" spc="0" baseline="0">
              <a:ln w="0">
                <a:noFill/>
              </a:ln>
              <a:solidFill>
                <a:schemeClr val="tx2"/>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mn-cs"/>
            </a:rPr>
            <a:t> Task</a:t>
          </a:r>
          <a:endParaRPr lang="en-US" sz="1200" b="1" cap="none" spc="0">
            <a:ln w="0">
              <a:noFill/>
            </a:ln>
            <a:solidFill>
              <a:schemeClr val="tx2"/>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mn-cs"/>
          </a:endParaRPr>
        </a:p>
      </xdr:txBody>
    </xdr:sp>
    <xdr:clientData/>
  </xdr:twoCellAnchor>
  <xdr:twoCellAnchor>
    <xdr:from>
      <xdr:col>20</xdr:col>
      <xdr:colOff>340469</xdr:colOff>
      <xdr:row>5</xdr:row>
      <xdr:rowOff>121595</xdr:rowOff>
    </xdr:from>
    <xdr:to>
      <xdr:col>22</xdr:col>
      <xdr:colOff>567446</xdr:colOff>
      <xdr:row>8</xdr:row>
      <xdr:rowOff>32426</xdr:rowOff>
    </xdr:to>
    <xdr:sp macro="" textlink="'Pivot table'!B10">
      <xdr:nvSpPr>
        <xdr:cNvPr id="39" name="TextBox 38">
          <a:extLst>
            <a:ext uri="{FF2B5EF4-FFF2-40B4-BE49-F238E27FC236}">
              <a16:creationId xmlns:a16="http://schemas.microsoft.com/office/drawing/2014/main" id="{43A4D34B-8EE4-B45D-E7D7-6A99A5147773}"/>
            </a:ext>
          </a:extLst>
        </xdr:cNvPr>
        <xdr:cNvSpPr txBox="1"/>
      </xdr:nvSpPr>
      <xdr:spPr>
        <a:xfrm>
          <a:off x="12500043" y="1013297"/>
          <a:ext cx="1442935" cy="445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E19CCB-7BB1-4AA0-B18F-0C451D257677}" type="TxLink">
            <a:rPr lang="en-US" sz="2000" b="1" i="0" u="none" strike="noStrike">
              <a:solidFill>
                <a:srgbClr val="000000"/>
              </a:solidFill>
              <a:latin typeface="Cambria" panose="02040503050406030204" pitchFamily="18" charset="0"/>
              <a:ea typeface="Cambria" panose="02040503050406030204" pitchFamily="18" charset="0"/>
              <a:cs typeface="+mn-cs"/>
            </a:rPr>
            <a:pPr marL="0" indent="0" algn="ctr"/>
            <a:t>1195</a:t>
          </a:fld>
          <a:endParaRPr lang="en-US" sz="2000" b="1" i="0" u="none" strike="noStrike">
            <a:solidFill>
              <a:srgbClr val="000000"/>
            </a:solidFill>
            <a:latin typeface="Cambria" panose="02040503050406030204" pitchFamily="18" charset="0"/>
            <a:ea typeface="Cambria" panose="02040503050406030204" pitchFamily="18" charset="0"/>
            <a:cs typeface="+mn-cs"/>
          </a:endParaRPr>
        </a:p>
      </xdr:txBody>
    </xdr:sp>
    <xdr:clientData/>
  </xdr:twoCellAnchor>
  <xdr:twoCellAnchor>
    <xdr:from>
      <xdr:col>0</xdr:col>
      <xdr:colOff>458820</xdr:colOff>
      <xdr:row>6</xdr:row>
      <xdr:rowOff>64850</xdr:rowOff>
    </xdr:from>
    <xdr:to>
      <xdr:col>2</xdr:col>
      <xdr:colOff>551234</xdr:colOff>
      <xdr:row>8</xdr:row>
      <xdr:rowOff>72957</xdr:rowOff>
    </xdr:to>
    <xdr:sp macro="" textlink="">
      <xdr:nvSpPr>
        <xdr:cNvPr id="36" name="TextBox 35">
          <a:extLst>
            <a:ext uri="{FF2B5EF4-FFF2-40B4-BE49-F238E27FC236}">
              <a16:creationId xmlns:a16="http://schemas.microsoft.com/office/drawing/2014/main" id="{E4BCD51F-6DFA-C7BB-8F5C-A87E6E553BD9}"/>
            </a:ext>
          </a:extLst>
        </xdr:cNvPr>
        <xdr:cNvSpPr txBox="1"/>
      </xdr:nvSpPr>
      <xdr:spPr>
        <a:xfrm>
          <a:off x="458820" y="1134893"/>
          <a:ext cx="1308371" cy="36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002060"/>
              </a:solidFill>
              <a:latin typeface="Cambria" panose="02040503050406030204" pitchFamily="18" charset="0"/>
              <a:ea typeface="Cambria" panose="02040503050406030204" pitchFamily="18" charset="0"/>
            </a:rPr>
            <a:t>Nexura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STLE" refreshedDate="46277.676465509256" createdVersion="8" refreshedVersion="8" minRefreshableVersion="3" recordCount="89" xr:uid="{D5DB10BC-6FBD-4108-9F9A-D6F2366C4077}">
  <cacheSource type="worksheet">
    <worksheetSource name="Table1"/>
  </cacheSource>
  <cacheFields count="18">
    <cacheField name="Date" numFmtId="15">
      <sharedItems containsSemiMixedTypes="0" containsNonDate="0" containsDate="1" containsString="0" minDate="2026-01-01T00:00:00" maxDate="2026-07-19T00:00:00"/>
    </cacheField>
    <cacheField name="Month" numFmtId="0">
      <sharedItems count="7">
        <s v="Jan"/>
        <s v="Feb"/>
        <s v="Mar"/>
        <s v="Apr"/>
        <s v="May"/>
        <s v="Jun"/>
        <s v="Jul"/>
      </sharedItems>
    </cacheField>
    <cacheField name="Emp ID" numFmtId="0">
      <sharedItems count="20">
        <s v="EMP001"/>
        <s v="EMP002"/>
        <s v="EMP003"/>
        <s v="EMP004"/>
        <s v="EMP005"/>
        <s v="EMP006"/>
        <s v="EMP007"/>
        <s v="EMP008"/>
        <s v="EMP009"/>
        <s v="EMP010"/>
        <s v="EMP012"/>
        <s v="EMP013"/>
        <s v="EMP014"/>
        <s v="EMP015"/>
        <s v="EMP016"/>
        <s v="EMP017"/>
        <s v="EMP018"/>
        <s v="EMP020"/>
        <s v="EMP011"/>
        <s v="EMP019"/>
      </sharedItems>
    </cacheField>
    <cacheField name="Employee Name" numFmtId="0">
      <sharedItems count="20">
        <s v="James Smith"/>
        <s v="Mary Johnson"/>
        <s v="Robert Williams"/>
        <s v="Jennifer Brown"/>
        <s v="Michael Jones"/>
        <s v="Linda Garcia"/>
        <s v="David Miller"/>
        <s v="Sarah Davis"/>
        <s v="John Rodriguez"/>
        <s v="Emily Martinez"/>
        <s v="Jessica Lopez"/>
        <s v="Christopher Wilson"/>
        <s v="Amanda Anderson"/>
        <s v="Matthew Taylor"/>
        <s v="Ashley Thomas"/>
        <s v="Andrew Moore"/>
        <s v="Olivia Jackson"/>
        <s v="Sophia Lee"/>
        <s v="Daniel Hernandez"/>
        <s v="Joshua Martin"/>
      </sharedItems>
    </cacheField>
    <cacheField name="Department" numFmtId="0">
      <sharedItems count="6">
        <s v="Sales"/>
        <s v="Marketing"/>
        <s v="Finance"/>
        <s v="HR"/>
        <s v="Operations"/>
        <s v="IT"/>
      </sharedItems>
    </cacheField>
    <cacheField name="Region" numFmtId="0">
      <sharedItems count="4">
        <s v="California"/>
        <s v="Texas"/>
        <s v="Florida"/>
        <s v="New York"/>
      </sharedItems>
    </cacheField>
    <cacheField name="Working Days" numFmtId="0">
      <sharedItems containsSemiMixedTypes="0" containsString="0" containsNumber="1" containsInteger="1" minValue="20" maxValue="22"/>
    </cacheField>
    <cacheField name="Attendance Status" numFmtId="0">
      <sharedItems count="3">
        <s v="Present"/>
        <s v="Leave"/>
        <s v="Work From Home"/>
      </sharedItems>
    </cacheField>
    <cacheField name="Target Tasks" numFmtId="0">
      <sharedItems containsSemiMixedTypes="0" containsString="0" containsNumber="1" containsInteger="1" minValue="8" maxValue="20"/>
    </cacheField>
    <cacheField name="Completed Tasks" numFmtId="0">
      <sharedItems containsSemiMixedTypes="0" containsString="0" containsNumber="1" containsInteger="1" minValue="5" maxValue="23"/>
    </cacheField>
    <cacheField name="Pending Tasks" numFmtId="0">
      <sharedItems containsSemiMixedTypes="0" containsString="0" containsNumber="1" containsInteger="1" minValue="0" maxValue="70"/>
    </cacheField>
    <cacheField name="Target Hours" numFmtId="0">
      <sharedItems containsSemiMixedTypes="0" containsString="0" containsNumber="1" containsInteger="1" minValue="7" maxValue="9"/>
    </cacheField>
    <cacheField name="Actual Hours" numFmtId="0">
      <sharedItems containsSemiMixedTypes="0" containsString="0" containsNumber="1" minValue="5.0999999999999996" maxValue="11"/>
    </cacheField>
    <cacheField name="Overtime Hours" numFmtId="0">
      <sharedItems containsSemiMixedTypes="0" containsString="0" containsNumber="1" minValue="0" maxValue="2"/>
    </cacheField>
    <cacheField name="Productivity %" numFmtId="10">
      <sharedItems containsSemiMixedTypes="0" containsString="0" containsNumber="1" minValue="0.57399999999999995" maxValue="1"/>
    </cacheField>
    <cacheField name="Quality Score %" numFmtId="10">
      <sharedItems containsSemiMixedTypes="0" containsString="0" containsNumber="1" minValue="0.55400000000000005" maxValue="1"/>
    </cacheField>
    <cacheField name="Achievement %" numFmtId="10">
      <sharedItems containsSemiMixedTypes="0" containsString="0" containsNumber="1" minValue="0.60099999999999998" maxValue="1"/>
    </cacheField>
    <cacheField name="Performance Status" numFmtId="0">
      <sharedItems count="3">
        <s v="High Performer"/>
        <s v="On Track"/>
        <s v="Needs Improvement"/>
      </sharedItems>
    </cacheField>
  </cacheFields>
  <extLst>
    <ext xmlns:x14="http://schemas.microsoft.com/office/spreadsheetml/2009/9/main" uri="{725AE2AE-9491-48be-B2B4-4EB974FC3084}">
      <x14:pivotCacheDefinition pivotCacheId="12890381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d v="2026-01-01T00:00:00"/>
    <x v="0"/>
    <x v="0"/>
    <x v="0"/>
    <x v="0"/>
    <x v="0"/>
    <n v="22"/>
    <x v="0"/>
    <n v="8"/>
    <n v="10"/>
    <n v="0"/>
    <n v="8"/>
    <n v="8.5"/>
    <n v="0.5"/>
    <n v="1"/>
    <n v="0.91100000000000003"/>
    <n v="0.96399999999999997"/>
    <x v="0"/>
  </r>
  <r>
    <d v="2026-01-03T00:00:00"/>
    <x v="0"/>
    <x v="1"/>
    <x v="1"/>
    <x v="0"/>
    <x v="1"/>
    <n v="20"/>
    <x v="1"/>
    <n v="19"/>
    <n v="20"/>
    <n v="0"/>
    <n v="7"/>
    <n v="6.8"/>
    <n v="0"/>
    <n v="1"/>
    <n v="0.88700000000000001"/>
    <n v="0.95499999999999996"/>
    <x v="0"/>
  </r>
  <r>
    <d v="2026-01-05T00:00:00"/>
    <x v="0"/>
    <x v="2"/>
    <x v="2"/>
    <x v="1"/>
    <x v="2"/>
    <n v="20"/>
    <x v="0"/>
    <n v="11"/>
    <n v="12"/>
    <n v="0"/>
    <n v="9"/>
    <n v="9.6999999999999993"/>
    <n v="0.7"/>
    <n v="1"/>
    <n v="0.92400000000000004"/>
    <n v="0.97"/>
    <x v="0"/>
  </r>
  <r>
    <d v="2026-01-07T00:00:00"/>
    <x v="0"/>
    <x v="3"/>
    <x v="3"/>
    <x v="1"/>
    <x v="0"/>
    <n v="22"/>
    <x v="1"/>
    <n v="16"/>
    <n v="16"/>
    <n v="0"/>
    <n v="7"/>
    <n v="8.6999999999999993"/>
    <n v="1.7"/>
    <n v="0.99199999999999999"/>
    <n v="0.93300000000000005"/>
    <n v="0.96799999999999997"/>
    <x v="0"/>
  </r>
  <r>
    <d v="2026-01-09T00:00:00"/>
    <x v="0"/>
    <x v="4"/>
    <x v="4"/>
    <x v="2"/>
    <x v="3"/>
    <n v="20"/>
    <x v="0"/>
    <n v="19"/>
    <n v="19"/>
    <n v="0"/>
    <n v="8"/>
    <n v="7.7"/>
    <n v="0"/>
    <n v="0.96399999999999997"/>
    <n v="0.89100000000000001"/>
    <n v="0.93500000000000005"/>
    <x v="0"/>
  </r>
  <r>
    <d v="2026-01-11T00:00:00"/>
    <x v="0"/>
    <x v="5"/>
    <x v="5"/>
    <x v="2"/>
    <x v="1"/>
    <n v="21"/>
    <x v="0"/>
    <n v="9"/>
    <n v="9"/>
    <n v="10"/>
    <n v="7"/>
    <n v="6.7"/>
    <n v="0"/>
    <n v="0.97699999999999998"/>
    <n v="0.93300000000000005"/>
    <n v="0.95899999999999996"/>
    <x v="0"/>
  </r>
  <r>
    <d v="2026-01-13T00:00:00"/>
    <x v="0"/>
    <x v="6"/>
    <x v="6"/>
    <x v="3"/>
    <x v="2"/>
    <n v="21"/>
    <x v="0"/>
    <n v="19"/>
    <n v="19"/>
    <n v="0"/>
    <n v="9"/>
    <n v="10.7"/>
    <n v="1.7"/>
    <n v="0.94"/>
    <n v="1"/>
    <n v="0.96399999999999997"/>
    <x v="0"/>
  </r>
  <r>
    <d v="2026-01-15T00:00:00"/>
    <x v="0"/>
    <x v="7"/>
    <x v="7"/>
    <x v="3"/>
    <x v="0"/>
    <n v="20"/>
    <x v="2"/>
    <n v="12"/>
    <n v="15"/>
    <n v="0"/>
    <n v="9"/>
    <n v="9.8000000000000007"/>
    <n v="0.8"/>
    <n v="1"/>
    <n v="1"/>
    <n v="1"/>
    <x v="0"/>
  </r>
  <r>
    <d v="2026-01-17T00:00:00"/>
    <x v="0"/>
    <x v="8"/>
    <x v="8"/>
    <x v="4"/>
    <x v="3"/>
    <n v="22"/>
    <x v="0"/>
    <n v="19"/>
    <n v="16"/>
    <n v="30"/>
    <n v="7"/>
    <n v="6.5"/>
    <n v="0"/>
    <n v="0.86799999999999999"/>
    <n v="0.91800000000000004"/>
    <n v="0.88800000000000001"/>
    <x v="1"/>
  </r>
  <r>
    <d v="2026-01-19T00:00:00"/>
    <x v="0"/>
    <x v="9"/>
    <x v="9"/>
    <x v="4"/>
    <x v="2"/>
    <n v="20"/>
    <x v="0"/>
    <n v="9"/>
    <n v="9"/>
    <n v="40"/>
    <n v="8"/>
    <n v="8.6"/>
    <n v="0.6"/>
    <n v="0.99299999999999999"/>
    <n v="1"/>
    <n v="0.996"/>
    <x v="0"/>
  </r>
  <r>
    <d v="2026-01-23T00:00:00"/>
    <x v="0"/>
    <x v="10"/>
    <x v="10"/>
    <x v="5"/>
    <x v="0"/>
    <n v="22"/>
    <x v="0"/>
    <n v="17"/>
    <n v="19"/>
    <n v="0"/>
    <n v="7"/>
    <n v="6.5"/>
    <n v="0"/>
    <n v="1"/>
    <n v="0.93400000000000005"/>
    <n v="0.97399999999999998"/>
    <x v="0"/>
  </r>
  <r>
    <d v="2026-01-25T00:00:00"/>
    <x v="0"/>
    <x v="11"/>
    <x v="11"/>
    <x v="0"/>
    <x v="3"/>
    <n v="21"/>
    <x v="0"/>
    <n v="12"/>
    <n v="14"/>
    <n v="50"/>
    <n v="9"/>
    <n v="9.3000000000000007"/>
    <n v="0.3"/>
    <n v="1"/>
    <n v="1"/>
    <n v="1"/>
    <x v="0"/>
  </r>
  <r>
    <d v="2026-01-27T00:00:00"/>
    <x v="0"/>
    <x v="12"/>
    <x v="12"/>
    <x v="1"/>
    <x v="1"/>
    <n v="20"/>
    <x v="0"/>
    <n v="8"/>
    <n v="11"/>
    <n v="0"/>
    <n v="8"/>
    <n v="5.9"/>
    <n v="0"/>
    <n v="1"/>
    <n v="0.89500000000000002"/>
    <n v="0.95799999999999996"/>
    <x v="0"/>
  </r>
  <r>
    <d v="2026-01-29T00:00:00"/>
    <x v="0"/>
    <x v="13"/>
    <x v="13"/>
    <x v="2"/>
    <x v="2"/>
    <n v="22"/>
    <x v="1"/>
    <n v="13"/>
    <n v="11"/>
    <n v="2"/>
    <n v="9"/>
    <n v="7.1"/>
    <n v="0"/>
    <n v="0.84599999999999997"/>
    <n v="0.92100000000000004"/>
    <n v="0.876"/>
    <x v="1"/>
  </r>
  <r>
    <d v="2026-01-31T00:00:00"/>
    <x v="0"/>
    <x v="14"/>
    <x v="14"/>
    <x v="3"/>
    <x v="3"/>
    <n v="22"/>
    <x v="0"/>
    <n v="10"/>
    <n v="9"/>
    <n v="1"/>
    <n v="7"/>
    <n v="6.4"/>
    <n v="0"/>
    <n v="0.85899999999999999"/>
    <n v="0.86299999999999999"/>
    <n v="0.86099999999999999"/>
    <x v="1"/>
  </r>
  <r>
    <d v="2026-02-02T00:00:00"/>
    <x v="1"/>
    <x v="15"/>
    <x v="15"/>
    <x v="4"/>
    <x v="0"/>
    <n v="21"/>
    <x v="1"/>
    <n v="17"/>
    <n v="17"/>
    <n v="0"/>
    <n v="9"/>
    <n v="7.9"/>
    <n v="0"/>
    <n v="0.98399999999999999"/>
    <n v="0.91200000000000003"/>
    <n v="0.95499999999999996"/>
    <x v="0"/>
  </r>
  <r>
    <d v="2026-02-04T00:00:00"/>
    <x v="1"/>
    <x v="16"/>
    <x v="16"/>
    <x v="5"/>
    <x v="2"/>
    <n v="20"/>
    <x v="2"/>
    <n v="15"/>
    <n v="12"/>
    <n v="3"/>
    <n v="7"/>
    <n v="7.3"/>
    <n v="0.3"/>
    <n v="0.85799999999999998"/>
    <n v="0.77200000000000002"/>
    <n v="0.82399999999999995"/>
    <x v="1"/>
  </r>
  <r>
    <d v="2026-02-08T00:00:00"/>
    <x v="1"/>
    <x v="17"/>
    <x v="17"/>
    <x v="1"/>
    <x v="3"/>
    <n v="21"/>
    <x v="2"/>
    <n v="12"/>
    <n v="13"/>
    <n v="70"/>
    <n v="7"/>
    <n v="5.4"/>
    <n v="0"/>
    <n v="1"/>
    <n v="0.90500000000000003"/>
    <n v="0.96199999999999997"/>
    <x v="0"/>
  </r>
  <r>
    <d v="2026-02-10T00:00:00"/>
    <x v="1"/>
    <x v="0"/>
    <x v="0"/>
    <x v="0"/>
    <x v="0"/>
    <n v="22"/>
    <x v="0"/>
    <n v="20"/>
    <n v="22"/>
    <n v="0"/>
    <n v="8"/>
    <n v="9.6"/>
    <n v="1.6"/>
    <n v="1"/>
    <n v="0.97599999999999998"/>
    <n v="0.99"/>
    <x v="0"/>
  </r>
  <r>
    <d v="2026-02-12T00:00:00"/>
    <x v="1"/>
    <x v="1"/>
    <x v="1"/>
    <x v="0"/>
    <x v="1"/>
    <n v="21"/>
    <x v="0"/>
    <n v="19"/>
    <n v="21"/>
    <n v="0"/>
    <n v="8"/>
    <n v="7.8"/>
    <n v="0"/>
    <n v="1"/>
    <n v="1"/>
    <n v="1"/>
    <x v="0"/>
  </r>
  <r>
    <d v="2026-02-14T00:00:00"/>
    <x v="1"/>
    <x v="2"/>
    <x v="2"/>
    <x v="1"/>
    <x v="2"/>
    <n v="22"/>
    <x v="0"/>
    <n v="18"/>
    <n v="17"/>
    <n v="1"/>
    <n v="9"/>
    <n v="9.1"/>
    <n v="0.1"/>
    <n v="0.94599999999999995"/>
    <n v="0.87"/>
    <n v="0.91600000000000004"/>
    <x v="0"/>
  </r>
  <r>
    <d v="2026-02-16T00:00:00"/>
    <x v="1"/>
    <x v="3"/>
    <x v="3"/>
    <x v="1"/>
    <x v="0"/>
    <n v="21"/>
    <x v="0"/>
    <n v="16"/>
    <n v="19"/>
    <n v="0"/>
    <n v="9"/>
    <n v="7.4"/>
    <n v="0"/>
    <n v="1"/>
    <n v="1"/>
    <n v="1"/>
    <x v="0"/>
  </r>
  <r>
    <d v="2026-02-18T00:00:00"/>
    <x v="1"/>
    <x v="4"/>
    <x v="4"/>
    <x v="2"/>
    <x v="3"/>
    <n v="21"/>
    <x v="0"/>
    <n v="9"/>
    <n v="8"/>
    <n v="1"/>
    <n v="8"/>
    <n v="7.4"/>
    <n v="0"/>
    <n v="0.84699999999999998"/>
    <n v="0.78"/>
    <n v="0.82"/>
    <x v="1"/>
  </r>
  <r>
    <d v="2026-02-20T00:00:00"/>
    <x v="1"/>
    <x v="5"/>
    <x v="5"/>
    <x v="2"/>
    <x v="1"/>
    <n v="22"/>
    <x v="0"/>
    <n v="9"/>
    <n v="11"/>
    <n v="0"/>
    <n v="8"/>
    <n v="8.1"/>
    <n v="0.1"/>
    <n v="1"/>
    <n v="1"/>
    <n v="1"/>
    <x v="0"/>
  </r>
  <r>
    <d v="2026-02-22T00:00:00"/>
    <x v="1"/>
    <x v="6"/>
    <x v="6"/>
    <x v="3"/>
    <x v="2"/>
    <n v="22"/>
    <x v="0"/>
    <n v="10"/>
    <n v="12"/>
    <n v="0"/>
    <n v="8"/>
    <n v="6.7"/>
    <n v="0"/>
    <n v="1"/>
    <n v="0.91600000000000004"/>
    <n v="0.96599999999999997"/>
    <x v="0"/>
  </r>
  <r>
    <d v="2026-02-24T00:00:00"/>
    <x v="1"/>
    <x v="7"/>
    <x v="7"/>
    <x v="3"/>
    <x v="0"/>
    <n v="22"/>
    <x v="2"/>
    <n v="14"/>
    <n v="12"/>
    <n v="2"/>
    <n v="9"/>
    <n v="9.4"/>
    <n v="0.4"/>
    <n v="0.89800000000000002"/>
    <n v="0.93"/>
    <n v="0.91100000000000003"/>
    <x v="0"/>
  </r>
  <r>
    <d v="2026-02-28T00:00:00"/>
    <x v="1"/>
    <x v="9"/>
    <x v="9"/>
    <x v="4"/>
    <x v="2"/>
    <n v="21"/>
    <x v="0"/>
    <n v="11"/>
    <n v="9"/>
    <n v="2"/>
    <n v="7"/>
    <n v="6.7"/>
    <n v="0"/>
    <n v="0.79200000000000004"/>
    <n v="0.80100000000000005"/>
    <n v="0.79600000000000004"/>
    <x v="1"/>
  </r>
  <r>
    <d v="2026-03-02T00:00:00"/>
    <x v="2"/>
    <x v="18"/>
    <x v="18"/>
    <x v="5"/>
    <x v="1"/>
    <n v="20"/>
    <x v="2"/>
    <n v="11"/>
    <n v="8"/>
    <n v="3"/>
    <n v="7"/>
    <n v="6.3"/>
    <n v="0"/>
    <n v="0.76100000000000001"/>
    <n v="0.65400000000000003"/>
    <n v="0.71799999999999997"/>
    <x v="2"/>
  </r>
  <r>
    <d v="2026-03-04T00:00:00"/>
    <x v="2"/>
    <x v="10"/>
    <x v="10"/>
    <x v="5"/>
    <x v="0"/>
    <n v="20"/>
    <x v="0"/>
    <n v="13"/>
    <n v="10"/>
    <n v="3"/>
    <n v="9"/>
    <n v="11"/>
    <n v="2"/>
    <n v="0.72699999999999998"/>
    <n v="0.754"/>
    <n v="0.73799999999999999"/>
    <x v="2"/>
  </r>
  <r>
    <d v="2026-03-06T00:00:00"/>
    <x v="2"/>
    <x v="11"/>
    <x v="11"/>
    <x v="0"/>
    <x v="3"/>
    <n v="20"/>
    <x v="2"/>
    <n v="10"/>
    <n v="12"/>
    <n v="0"/>
    <n v="9"/>
    <n v="9"/>
    <n v="0"/>
    <n v="1"/>
    <n v="0.93300000000000005"/>
    <n v="0.97299999999999998"/>
    <x v="0"/>
  </r>
  <r>
    <d v="2026-03-08T00:00:00"/>
    <x v="2"/>
    <x v="12"/>
    <x v="12"/>
    <x v="1"/>
    <x v="1"/>
    <n v="21"/>
    <x v="0"/>
    <n v="11"/>
    <n v="8"/>
    <n v="50"/>
    <n v="7"/>
    <n v="5.8"/>
    <n v="0"/>
    <n v="0.753"/>
    <n v="0.71099999999999997"/>
    <n v="0.73599999999999999"/>
    <x v="2"/>
  </r>
  <r>
    <d v="2026-03-10T00:00:00"/>
    <x v="2"/>
    <x v="13"/>
    <x v="13"/>
    <x v="2"/>
    <x v="2"/>
    <n v="21"/>
    <x v="0"/>
    <n v="19"/>
    <n v="16"/>
    <n v="3"/>
    <n v="9"/>
    <n v="9.9"/>
    <n v="0.9"/>
    <n v="0.86699999999999999"/>
    <n v="0.88900000000000001"/>
    <n v="0.876"/>
    <x v="1"/>
  </r>
  <r>
    <d v="2026-03-12T00:00:00"/>
    <x v="2"/>
    <x v="14"/>
    <x v="14"/>
    <x v="3"/>
    <x v="3"/>
    <n v="20"/>
    <x v="0"/>
    <n v="19"/>
    <n v="18"/>
    <n v="1"/>
    <n v="7"/>
    <n v="5.7"/>
    <n v="0"/>
    <n v="0.90700000000000003"/>
    <n v="0.82899999999999996"/>
    <n v="0.876"/>
    <x v="1"/>
  </r>
  <r>
    <d v="2026-03-14T00:00:00"/>
    <x v="2"/>
    <x v="15"/>
    <x v="15"/>
    <x v="4"/>
    <x v="0"/>
    <n v="21"/>
    <x v="0"/>
    <n v="14"/>
    <n v="12"/>
    <n v="2"/>
    <n v="8"/>
    <n v="8.1999999999999993"/>
    <n v="0.2"/>
    <n v="0.85099999999999998"/>
    <n v="0.92300000000000004"/>
    <n v="0.88"/>
    <x v="1"/>
  </r>
  <r>
    <d v="2026-03-16T00:00:00"/>
    <x v="2"/>
    <x v="16"/>
    <x v="16"/>
    <x v="5"/>
    <x v="2"/>
    <n v="20"/>
    <x v="0"/>
    <n v="20"/>
    <n v="23"/>
    <n v="0"/>
    <n v="9"/>
    <n v="6.8"/>
    <n v="0"/>
    <n v="1"/>
    <n v="1"/>
    <n v="1"/>
    <x v="0"/>
  </r>
  <r>
    <d v="2026-03-20T00:00:00"/>
    <x v="2"/>
    <x v="17"/>
    <x v="17"/>
    <x v="1"/>
    <x v="3"/>
    <n v="20"/>
    <x v="0"/>
    <n v="8"/>
    <n v="6"/>
    <n v="2"/>
    <n v="8"/>
    <n v="8.1999999999999993"/>
    <n v="0.2"/>
    <n v="0.67"/>
    <n v="0.63600000000000001"/>
    <n v="0.65600000000000003"/>
    <x v="2"/>
  </r>
  <r>
    <d v="2026-03-22T00:00:00"/>
    <x v="2"/>
    <x v="0"/>
    <x v="0"/>
    <x v="0"/>
    <x v="0"/>
    <n v="21"/>
    <x v="0"/>
    <n v="14"/>
    <n v="16"/>
    <n v="0"/>
    <n v="9"/>
    <n v="9.8000000000000007"/>
    <n v="0.8"/>
    <n v="1"/>
    <n v="1"/>
    <n v="1"/>
    <x v="0"/>
  </r>
  <r>
    <d v="2026-03-24T00:00:00"/>
    <x v="2"/>
    <x v="1"/>
    <x v="1"/>
    <x v="0"/>
    <x v="1"/>
    <n v="22"/>
    <x v="0"/>
    <n v="10"/>
    <n v="8"/>
    <n v="2"/>
    <n v="8"/>
    <n v="8.1999999999999993"/>
    <n v="0.2"/>
    <n v="0.755"/>
    <n v="0.64800000000000002"/>
    <n v="0.71199999999999997"/>
    <x v="2"/>
  </r>
  <r>
    <d v="2026-03-26T00:00:00"/>
    <x v="2"/>
    <x v="2"/>
    <x v="2"/>
    <x v="1"/>
    <x v="2"/>
    <n v="22"/>
    <x v="2"/>
    <n v="8"/>
    <n v="10"/>
    <n v="0"/>
    <n v="8"/>
    <n v="7.9"/>
    <n v="0"/>
    <n v="1"/>
    <n v="1"/>
    <n v="1"/>
    <x v="0"/>
  </r>
  <r>
    <d v="2026-03-28T00:00:00"/>
    <x v="2"/>
    <x v="3"/>
    <x v="3"/>
    <x v="1"/>
    <x v="0"/>
    <n v="22"/>
    <x v="2"/>
    <n v="10"/>
    <n v="7"/>
    <n v="3"/>
    <n v="9"/>
    <n v="8.6999999999999993"/>
    <n v="0"/>
    <n v="0.63300000000000001"/>
    <n v="0.55400000000000005"/>
    <n v="0.60099999999999998"/>
    <x v="2"/>
  </r>
  <r>
    <d v="2026-03-30T00:00:00"/>
    <x v="2"/>
    <x v="4"/>
    <x v="4"/>
    <x v="2"/>
    <x v="3"/>
    <n v="22"/>
    <x v="0"/>
    <n v="18"/>
    <n v="21"/>
    <n v="0"/>
    <n v="7"/>
    <n v="5.4"/>
    <n v="0"/>
    <n v="1"/>
    <n v="1"/>
    <n v="1"/>
    <x v="0"/>
  </r>
  <r>
    <d v="2026-04-01T00:00:00"/>
    <x v="3"/>
    <x v="5"/>
    <x v="5"/>
    <x v="2"/>
    <x v="1"/>
    <n v="22"/>
    <x v="0"/>
    <n v="17"/>
    <n v="18"/>
    <n v="0"/>
    <n v="7"/>
    <n v="6.2"/>
    <n v="0"/>
    <n v="1"/>
    <n v="0.97199999999999998"/>
    <n v="0.98899999999999999"/>
    <x v="0"/>
  </r>
  <r>
    <d v="2026-04-05T00:00:00"/>
    <x v="3"/>
    <x v="7"/>
    <x v="7"/>
    <x v="3"/>
    <x v="0"/>
    <n v="20"/>
    <x v="0"/>
    <n v="14"/>
    <n v="12"/>
    <n v="2"/>
    <n v="9"/>
    <n v="10.199999999999999"/>
    <n v="1.2"/>
    <n v="0.88"/>
    <n v="0.86099999999999999"/>
    <n v="0.872"/>
    <x v="1"/>
  </r>
  <r>
    <d v="2026-04-07T00:00:00"/>
    <x v="3"/>
    <x v="8"/>
    <x v="8"/>
    <x v="4"/>
    <x v="3"/>
    <n v="20"/>
    <x v="0"/>
    <n v="15"/>
    <n v="16"/>
    <n v="0"/>
    <n v="9"/>
    <n v="9.4"/>
    <n v="0.4"/>
    <n v="1"/>
    <n v="0.89600000000000002"/>
    <n v="0.95799999999999996"/>
    <x v="0"/>
  </r>
  <r>
    <d v="2026-04-09T00:00:00"/>
    <x v="3"/>
    <x v="9"/>
    <x v="9"/>
    <x v="4"/>
    <x v="2"/>
    <n v="20"/>
    <x v="2"/>
    <n v="12"/>
    <n v="10"/>
    <n v="2"/>
    <n v="8"/>
    <n v="6.1"/>
    <n v="0"/>
    <n v="0.89400000000000002"/>
    <n v="0.96699999999999997"/>
    <n v="0.92300000000000004"/>
    <x v="0"/>
  </r>
  <r>
    <d v="2026-04-11T00:00:00"/>
    <x v="3"/>
    <x v="18"/>
    <x v="18"/>
    <x v="5"/>
    <x v="1"/>
    <n v="21"/>
    <x v="0"/>
    <n v="10"/>
    <n v="10"/>
    <n v="0"/>
    <n v="9"/>
    <n v="9.4"/>
    <n v="0.4"/>
    <n v="1"/>
    <n v="1"/>
    <n v="1"/>
    <x v="0"/>
  </r>
  <r>
    <d v="2026-04-13T00:00:00"/>
    <x v="3"/>
    <x v="10"/>
    <x v="10"/>
    <x v="5"/>
    <x v="0"/>
    <n v="22"/>
    <x v="2"/>
    <n v="8"/>
    <n v="10"/>
    <n v="0"/>
    <n v="9"/>
    <n v="8.6"/>
    <n v="0"/>
    <n v="1"/>
    <n v="1"/>
    <n v="1"/>
    <x v="0"/>
  </r>
  <r>
    <d v="2026-04-15T00:00:00"/>
    <x v="3"/>
    <x v="11"/>
    <x v="11"/>
    <x v="0"/>
    <x v="3"/>
    <n v="20"/>
    <x v="0"/>
    <n v="9"/>
    <n v="6"/>
    <n v="70"/>
    <n v="9"/>
    <n v="8.3000000000000007"/>
    <n v="0"/>
    <n v="0.67500000000000004"/>
    <n v="0.61499999999999999"/>
    <n v="0.65100000000000002"/>
    <x v="2"/>
  </r>
  <r>
    <d v="2026-04-19T00:00:00"/>
    <x v="3"/>
    <x v="13"/>
    <x v="13"/>
    <x v="2"/>
    <x v="2"/>
    <n v="22"/>
    <x v="0"/>
    <n v="12"/>
    <n v="15"/>
    <n v="0"/>
    <n v="7"/>
    <n v="8.1"/>
    <n v="1.1000000000000001"/>
    <n v="1"/>
    <n v="0.97299999999999998"/>
    <n v="0.98899999999999999"/>
    <x v="0"/>
  </r>
  <r>
    <d v="2026-04-21T00:00:00"/>
    <x v="3"/>
    <x v="14"/>
    <x v="14"/>
    <x v="3"/>
    <x v="3"/>
    <n v="21"/>
    <x v="0"/>
    <n v="8"/>
    <n v="7"/>
    <n v="1"/>
    <n v="7"/>
    <n v="8"/>
    <n v="1"/>
    <n v="0.89700000000000002"/>
    <n v="0.83499999999999996"/>
    <n v="0.872"/>
    <x v="1"/>
  </r>
  <r>
    <d v="2026-04-23T00:00:00"/>
    <x v="3"/>
    <x v="15"/>
    <x v="15"/>
    <x v="4"/>
    <x v="0"/>
    <n v="22"/>
    <x v="0"/>
    <n v="16"/>
    <n v="18"/>
    <n v="0"/>
    <n v="8"/>
    <n v="7.1"/>
    <n v="0"/>
    <n v="1"/>
    <n v="0.90500000000000003"/>
    <n v="0.96199999999999997"/>
    <x v="0"/>
  </r>
  <r>
    <d v="2026-04-25T00:00:00"/>
    <x v="3"/>
    <x v="16"/>
    <x v="16"/>
    <x v="5"/>
    <x v="2"/>
    <n v="22"/>
    <x v="0"/>
    <n v="16"/>
    <n v="13"/>
    <n v="3"/>
    <n v="8"/>
    <n v="7.7"/>
    <n v="0"/>
    <n v="0.82599999999999996"/>
    <n v="0.73899999999999999"/>
    <n v="0.79100000000000004"/>
    <x v="1"/>
  </r>
  <r>
    <d v="2026-04-27T00:00:00"/>
    <x v="3"/>
    <x v="19"/>
    <x v="19"/>
    <x v="0"/>
    <x v="1"/>
    <n v="20"/>
    <x v="0"/>
    <n v="12"/>
    <n v="11"/>
    <n v="1"/>
    <n v="7"/>
    <n v="7.4"/>
    <n v="0.4"/>
    <n v="0.98"/>
    <n v="0.90600000000000003"/>
    <n v="0.95"/>
    <x v="0"/>
  </r>
  <r>
    <d v="2026-04-29T00:00:00"/>
    <x v="3"/>
    <x v="17"/>
    <x v="17"/>
    <x v="1"/>
    <x v="3"/>
    <n v="20"/>
    <x v="1"/>
    <n v="9"/>
    <n v="8"/>
    <n v="1"/>
    <n v="9"/>
    <n v="10.1"/>
    <n v="1.1000000000000001"/>
    <n v="0.95"/>
    <n v="0.91900000000000004"/>
    <n v="0.93799999999999994"/>
    <x v="0"/>
  </r>
  <r>
    <d v="2026-05-01T00:00:00"/>
    <x v="4"/>
    <x v="0"/>
    <x v="0"/>
    <x v="0"/>
    <x v="0"/>
    <n v="22"/>
    <x v="1"/>
    <n v="10"/>
    <n v="8"/>
    <n v="2"/>
    <n v="7"/>
    <n v="6.5"/>
    <n v="0"/>
    <n v="0.876"/>
    <n v="0.93400000000000005"/>
    <n v="0.89900000000000002"/>
    <x v="1"/>
  </r>
  <r>
    <d v="2026-05-03T00:00:00"/>
    <x v="4"/>
    <x v="1"/>
    <x v="1"/>
    <x v="0"/>
    <x v="1"/>
    <n v="21"/>
    <x v="0"/>
    <n v="10"/>
    <n v="12"/>
    <n v="0"/>
    <n v="8"/>
    <n v="7.8"/>
    <n v="0"/>
    <n v="1"/>
    <n v="0.97099999999999997"/>
    <n v="0.98799999999999999"/>
    <x v="0"/>
  </r>
  <r>
    <d v="2026-05-07T00:00:00"/>
    <x v="4"/>
    <x v="3"/>
    <x v="3"/>
    <x v="1"/>
    <x v="0"/>
    <n v="21"/>
    <x v="0"/>
    <n v="15"/>
    <n v="13"/>
    <n v="2"/>
    <n v="7"/>
    <n v="5.7"/>
    <n v="0"/>
    <n v="0.91700000000000004"/>
    <n v="0.89800000000000002"/>
    <n v="0.90900000000000003"/>
    <x v="0"/>
  </r>
  <r>
    <d v="2026-05-09T00:00:00"/>
    <x v="4"/>
    <x v="4"/>
    <x v="4"/>
    <x v="2"/>
    <x v="3"/>
    <n v="21"/>
    <x v="0"/>
    <n v="11"/>
    <n v="8"/>
    <n v="3"/>
    <n v="9"/>
    <n v="9.9"/>
    <n v="0.9"/>
    <n v="0.67800000000000005"/>
    <n v="0.63"/>
    <n v="0.65900000000000003"/>
    <x v="2"/>
  </r>
  <r>
    <d v="2026-05-11T00:00:00"/>
    <x v="4"/>
    <x v="5"/>
    <x v="5"/>
    <x v="2"/>
    <x v="1"/>
    <n v="20"/>
    <x v="0"/>
    <n v="13"/>
    <n v="15"/>
    <n v="0"/>
    <n v="9"/>
    <n v="10.5"/>
    <n v="1.5"/>
    <n v="1"/>
    <n v="1"/>
    <n v="1"/>
    <x v="0"/>
  </r>
  <r>
    <d v="2026-05-13T00:00:00"/>
    <x v="4"/>
    <x v="6"/>
    <x v="6"/>
    <x v="3"/>
    <x v="2"/>
    <n v="22"/>
    <x v="0"/>
    <n v="8"/>
    <n v="5"/>
    <n v="50"/>
    <n v="8"/>
    <n v="7.9"/>
    <n v="0"/>
    <n v="0.57399999999999995"/>
    <n v="0.66600000000000004"/>
    <n v="0.61099999999999999"/>
    <x v="2"/>
  </r>
  <r>
    <d v="2026-05-15T00:00:00"/>
    <x v="4"/>
    <x v="7"/>
    <x v="7"/>
    <x v="3"/>
    <x v="0"/>
    <n v="21"/>
    <x v="0"/>
    <n v="9"/>
    <n v="10"/>
    <n v="0"/>
    <n v="8"/>
    <n v="9.1"/>
    <n v="1.1000000000000001"/>
    <n v="1"/>
    <n v="1"/>
    <n v="1"/>
    <x v="0"/>
  </r>
  <r>
    <d v="2026-05-17T00:00:00"/>
    <x v="4"/>
    <x v="8"/>
    <x v="8"/>
    <x v="4"/>
    <x v="3"/>
    <n v="21"/>
    <x v="2"/>
    <n v="16"/>
    <n v="13"/>
    <n v="3"/>
    <n v="8"/>
    <n v="8.4"/>
    <n v="0.4"/>
    <n v="0.876"/>
    <n v="0.79800000000000004"/>
    <n v="0.84499999999999997"/>
    <x v="1"/>
  </r>
  <r>
    <d v="2026-05-21T00:00:00"/>
    <x v="4"/>
    <x v="18"/>
    <x v="18"/>
    <x v="5"/>
    <x v="1"/>
    <n v="22"/>
    <x v="1"/>
    <n v="19"/>
    <n v="21"/>
    <n v="0"/>
    <n v="7"/>
    <n v="7.4"/>
    <n v="0.4"/>
    <n v="1"/>
    <n v="0.89500000000000002"/>
    <n v="0.95799999999999996"/>
    <x v="0"/>
  </r>
  <r>
    <d v="2026-05-23T00:00:00"/>
    <x v="4"/>
    <x v="10"/>
    <x v="10"/>
    <x v="5"/>
    <x v="0"/>
    <n v="22"/>
    <x v="0"/>
    <n v="17"/>
    <n v="16"/>
    <n v="1"/>
    <n v="9"/>
    <n v="10.7"/>
    <n v="1.7"/>
    <n v="0.997"/>
    <n v="1"/>
    <n v="0.998"/>
    <x v="0"/>
  </r>
  <r>
    <d v="2026-05-25T00:00:00"/>
    <x v="4"/>
    <x v="11"/>
    <x v="11"/>
    <x v="0"/>
    <x v="3"/>
    <n v="21"/>
    <x v="2"/>
    <n v="12"/>
    <n v="14"/>
    <n v="0"/>
    <n v="8"/>
    <n v="8"/>
    <n v="0"/>
    <n v="1"/>
    <n v="1"/>
    <n v="1"/>
    <x v="0"/>
  </r>
  <r>
    <d v="2026-05-27T00:00:00"/>
    <x v="4"/>
    <x v="12"/>
    <x v="12"/>
    <x v="1"/>
    <x v="1"/>
    <n v="22"/>
    <x v="0"/>
    <n v="11"/>
    <n v="11"/>
    <n v="0"/>
    <n v="9"/>
    <n v="10.7"/>
    <n v="1.7"/>
    <n v="1"/>
    <n v="1"/>
    <n v="1"/>
    <x v="0"/>
  </r>
  <r>
    <d v="2026-05-29T00:00:00"/>
    <x v="4"/>
    <x v="13"/>
    <x v="13"/>
    <x v="2"/>
    <x v="2"/>
    <n v="20"/>
    <x v="2"/>
    <n v="17"/>
    <n v="16"/>
    <n v="1"/>
    <n v="8"/>
    <n v="5.0999999999999996"/>
    <n v="0"/>
    <n v="0.94899999999999995"/>
    <n v="0.82899999999999996"/>
    <n v="0.90100000000000002"/>
    <x v="0"/>
  </r>
  <r>
    <d v="2026-05-31T00:00:00"/>
    <x v="4"/>
    <x v="14"/>
    <x v="14"/>
    <x v="3"/>
    <x v="3"/>
    <n v="21"/>
    <x v="0"/>
    <n v="14"/>
    <n v="17"/>
    <n v="0"/>
    <n v="9"/>
    <n v="9.9"/>
    <n v="0.9"/>
    <n v="1"/>
    <n v="0.95099999999999996"/>
    <n v="0.98"/>
    <x v="0"/>
  </r>
  <r>
    <d v="2026-06-02T00:00:00"/>
    <x v="5"/>
    <x v="15"/>
    <x v="15"/>
    <x v="4"/>
    <x v="0"/>
    <n v="21"/>
    <x v="0"/>
    <n v="18"/>
    <n v="16"/>
    <n v="2"/>
    <n v="9"/>
    <n v="9.1"/>
    <n v="0.1"/>
    <n v="0.88500000000000001"/>
    <n v="0.96299999999999997"/>
    <n v="0.91600000000000004"/>
    <x v="0"/>
  </r>
  <r>
    <d v="2026-06-06T00:00:00"/>
    <x v="5"/>
    <x v="19"/>
    <x v="19"/>
    <x v="0"/>
    <x v="1"/>
    <n v="21"/>
    <x v="0"/>
    <n v="20"/>
    <n v="18"/>
    <n v="2"/>
    <n v="9"/>
    <n v="9.1"/>
    <n v="0.1"/>
    <n v="0.87"/>
    <n v="0.92700000000000005"/>
    <n v="0.89300000000000002"/>
    <x v="1"/>
  </r>
  <r>
    <d v="2026-06-08T00:00:00"/>
    <x v="5"/>
    <x v="17"/>
    <x v="17"/>
    <x v="1"/>
    <x v="3"/>
    <n v="20"/>
    <x v="0"/>
    <n v="8"/>
    <n v="6"/>
    <n v="2"/>
    <n v="8"/>
    <n v="5.8"/>
    <n v="0"/>
    <n v="0.76800000000000002"/>
    <n v="0.81699999999999995"/>
    <n v="0.78800000000000003"/>
    <x v="1"/>
  </r>
  <r>
    <d v="2026-06-10T00:00:00"/>
    <x v="5"/>
    <x v="0"/>
    <x v="0"/>
    <x v="0"/>
    <x v="0"/>
    <n v="21"/>
    <x v="0"/>
    <n v="18"/>
    <n v="19"/>
    <n v="50"/>
    <n v="7"/>
    <n v="6.8"/>
    <n v="0"/>
    <n v="1"/>
    <n v="0.96399999999999997"/>
    <n v="0.98599999999999999"/>
    <x v="0"/>
  </r>
  <r>
    <d v="2026-06-12T00:00:00"/>
    <x v="5"/>
    <x v="1"/>
    <x v="1"/>
    <x v="0"/>
    <x v="1"/>
    <n v="21"/>
    <x v="0"/>
    <n v="10"/>
    <n v="12"/>
    <n v="0"/>
    <n v="9"/>
    <n v="9.4"/>
    <n v="0.4"/>
    <n v="1"/>
    <n v="1"/>
    <n v="1"/>
    <x v="0"/>
  </r>
  <r>
    <d v="2026-06-14T00:00:00"/>
    <x v="5"/>
    <x v="2"/>
    <x v="2"/>
    <x v="1"/>
    <x v="2"/>
    <n v="20"/>
    <x v="0"/>
    <n v="11"/>
    <n v="9"/>
    <n v="2"/>
    <n v="9"/>
    <n v="10.6"/>
    <n v="1.6"/>
    <n v="0.82099999999999995"/>
    <n v="0.71199999999999997"/>
    <n v="0.77700000000000002"/>
    <x v="1"/>
  </r>
  <r>
    <d v="2026-06-16T00:00:00"/>
    <x v="5"/>
    <x v="3"/>
    <x v="3"/>
    <x v="1"/>
    <x v="0"/>
    <n v="20"/>
    <x v="0"/>
    <n v="15"/>
    <n v="13"/>
    <n v="2"/>
    <n v="8"/>
    <n v="7.4"/>
    <n v="0"/>
    <n v="0.89300000000000002"/>
    <n v="0.99"/>
    <n v="0.93200000000000005"/>
    <x v="0"/>
  </r>
  <r>
    <d v="2026-06-20T00:00:00"/>
    <x v="5"/>
    <x v="5"/>
    <x v="5"/>
    <x v="2"/>
    <x v="1"/>
    <n v="21"/>
    <x v="2"/>
    <n v="15"/>
    <n v="13"/>
    <n v="2"/>
    <n v="9"/>
    <n v="8.4"/>
    <n v="0"/>
    <n v="0.92500000000000004"/>
    <n v="0.90400000000000003"/>
    <n v="0.91700000000000004"/>
    <x v="0"/>
  </r>
  <r>
    <d v="2026-06-22T00:00:00"/>
    <x v="5"/>
    <x v="6"/>
    <x v="6"/>
    <x v="3"/>
    <x v="2"/>
    <n v="20"/>
    <x v="1"/>
    <n v="12"/>
    <n v="15"/>
    <n v="0"/>
    <n v="9"/>
    <n v="10"/>
    <n v="1"/>
    <n v="1"/>
    <n v="0.93300000000000005"/>
    <n v="0.97299999999999998"/>
    <x v="0"/>
  </r>
  <r>
    <d v="2026-06-24T00:00:00"/>
    <x v="5"/>
    <x v="7"/>
    <x v="7"/>
    <x v="3"/>
    <x v="0"/>
    <n v="21"/>
    <x v="0"/>
    <n v="19"/>
    <n v="18"/>
    <n v="1"/>
    <n v="7"/>
    <n v="7.4"/>
    <n v="0.4"/>
    <n v="0.91100000000000003"/>
    <n v="0.86099999999999999"/>
    <n v="0.89100000000000001"/>
    <x v="1"/>
  </r>
  <r>
    <d v="2026-06-26T00:00:00"/>
    <x v="5"/>
    <x v="8"/>
    <x v="8"/>
    <x v="4"/>
    <x v="3"/>
    <n v="22"/>
    <x v="0"/>
    <n v="10"/>
    <n v="8"/>
    <n v="2"/>
    <n v="7"/>
    <n v="6.4"/>
    <n v="0"/>
    <n v="0.78100000000000003"/>
    <n v="0.69499999999999995"/>
    <n v="0.747"/>
    <x v="2"/>
  </r>
  <r>
    <d v="2026-06-28T00:00:00"/>
    <x v="5"/>
    <x v="9"/>
    <x v="9"/>
    <x v="4"/>
    <x v="2"/>
    <n v="20"/>
    <x v="0"/>
    <n v="14"/>
    <n v="14"/>
    <n v="0"/>
    <n v="8"/>
    <n v="8.6"/>
    <n v="0.6"/>
    <n v="1"/>
    <n v="0.97099999999999997"/>
    <n v="0.98799999999999999"/>
    <x v="0"/>
  </r>
  <r>
    <d v="2026-06-30T00:00:00"/>
    <x v="5"/>
    <x v="18"/>
    <x v="18"/>
    <x v="5"/>
    <x v="1"/>
    <n v="20"/>
    <x v="0"/>
    <n v="14"/>
    <n v="17"/>
    <n v="0"/>
    <n v="9"/>
    <n v="9.1"/>
    <n v="0.1"/>
    <n v="1"/>
    <n v="0.88400000000000001"/>
    <n v="0.95399999999999996"/>
    <x v="0"/>
  </r>
  <r>
    <d v="2026-07-02T00:00:00"/>
    <x v="6"/>
    <x v="10"/>
    <x v="10"/>
    <x v="5"/>
    <x v="0"/>
    <n v="22"/>
    <x v="0"/>
    <n v="15"/>
    <n v="12"/>
    <n v="3"/>
    <n v="8"/>
    <n v="9.1"/>
    <n v="1.1000000000000001"/>
    <n v="0.76800000000000002"/>
    <n v="0.73399999999999999"/>
    <n v="0.754"/>
    <x v="1"/>
  </r>
  <r>
    <d v="2026-07-06T00:00:00"/>
    <x v="6"/>
    <x v="12"/>
    <x v="12"/>
    <x v="1"/>
    <x v="1"/>
    <n v="21"/>
    <x v="0"/>
    <n v="12"/>
    <n v="12"/>
    <n v="0"/>
    <n v="8"/>
    <n v="7.6"/>
    <n v="0"/>
    <n v="0.92500000000000004"/>
    <n v="0.879"/>
    <n v="0.90700000000000003"/>
    <x v="0"/>
  </r>
  <r>
    <d v="2026-07-08T00:00:00"/>
    <x v="6"/>
    <x v="13"/>
    <x v="13"/>
    <x v="2"/>
    <x v="2"/>
    <n v="22"/>
    <x v="0"/>
    <n v="19"/>
    <n v="17"/>
    <n v="2"/>
    <n v="8"/>
    <n v="7.6"/>
    <n v="0"/>
    <n v="0.96199999999999997"/>
    <n v="1"/>
    <n v="0.97699999999999998"/>
    <x v="0"/>
  </r>
  <r>
    <d v="2026-07-10T00:00:00"/>
    <x v="6"/>
    <x v="14"/>
    <x v="14"/>
    <x v="3"/>
    <x v="3"/>
    <n v="22"/>
    <x v="0"/>
    <n v="14"/>
    <n v="15"/>
    <n v="30"/>
    <n v="9"/>
    <n v="7.4"/>
    <n v="0"/>
    <n v="1"/>
    <n v="0.89800000000000002"/>
    <n v="0.95899999999999996"/>
    <x v="0"/>
  </r>
  <r>
    <d v="2026-07-12T00:00:00"/>
    <x v="6"/>
    <x v="15"/>
    <x v="15"/>
    <x v="4"/>
    <x v="0"/>
    <n v="21"/>
    <x v="0"/>
    <n v="15"/>
    <n v="13"/>
    <n v="2"/>
    <n v="7"/>
    <n v="7.3"/>
    <n v="0.3"/>
    <n v="0.82799999999999996"/>
    <n v="0.78"/>
    <n v="0.80900000000000005"/>
    <x v="1"/>
  </r>
  <r>
    <d v="2026-07-14T00:00:00"/>
    <x v="6"/>
    <x v="16"/>
    <x v="16"/>
    <x v="5"/>
    <x v="2"/>
    <n v="21"/>
    <x v="0"/>
    <n v="13"/>
    <n v="16"/>
    <n v="0"/>
    <n v="8"/>
    <n v="8.3000000000000007"/>
    <n v="0.3"/>
    <n v="1"/>
    <n v="1"/>
    <n v="1"/>
    <x v="0"/>
  </r>
  <r>
    <d v="2026-07-16T00:00:00"/>
    <x v="6"/>
    <x v="19"/>
    <x v="19"/>
    <x v="0"/>
    <x v="1"/>
    <n v="21"/>
    <x v="0"/>
    <n v="9"/>
    <n v="9"/>
    <n v="0"/>
    <n v="7"/>
    <n v="7"/>
    <n v="0"/>
    <n v="1"/>
    <n v="0.89100000000000001"/>
    <n v="0.95599999999999996"/>
    <x v="0"/>
  </r>
  <r>
    <d v="2026-07-18T00:00:00"/>
    <x v="6"/>
    <x v="17"/>
    <x v="17"/>
    <x v="1"/>
    <x v="3"/>
    <n v="21"/>
    <x v="0"/>
    <n v="18"/>
    <n v="15"/>
    <n v="3"/>
    <n v="9"/>
    <n v="8.6999999999999993"/>
    <n v="0"/>
    <n v="0.76"/>
    <n v="0.64700000000000002"/>
    <n v="0.7149999999999999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5D5E80-6981-4D9C-AEE8-BFF1E8BA10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 Name">
  <location ref="G14:H20" firstHeaderRow="1" firstDataRow="1" firstDataCol="1"/>
  <pivotFields count="18">
    <pivotField numFmtId="15" showAll="0"/>
    <pivotField showAll="0"/>
    <pivotField showAll="0"/>
    <pivotField axis="axisRow" showAll="0" measureFilter="1">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numFmtId="10" showAll="0"/>
    <pivotField dataField="1" numFmtId="10" showAll="0"/>
    <pivotField showAll="0"/>
  </pivotFields>
  <rowFields count="1">
    <field x="3"/>
  </rowFields>
  <rowItems count="6">
    <i>
      <x v="7"/>
    </i>
    <i>
      <x v="11"/>
    </i>
    <i>
      <x v="12"/>
    </i>
    <i>
      <x v="13"/>
    </i>
    <i>
      <x v="18"/>
    </i>
    <i t="grand">
      <x/>
    </i>
  </rowItems>
  <colItems count="1">
    <i/>
  </colItems>
  <dataFields count="1">
    <dataField name="Average of Achievement %" fld="16" subtotal="average" baseField="5" baseItem="0" numFmtId="1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403F6B-6AE0-47DB-95ED-4C8C51563A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s">
  <location ref="J3:K8" firstHeaderRow="1" firstDataRow="1" firstDataCol="1"/>
  <pivotFields count="18">
    <pivotField numFmtId="15" showAll="0"/>
    <pivotField showAll="0"/>
    <pivotField showAll="0"/>
    <pivotField showAll="0"/>
    <pivotField showAll="0">
      <items count="7">
        <item x="2"/>
        <item x="3"/>
        <item x="5"/>
        <item x="1"/>
        <item x="4"/>
        <item x="0"/>
        <item t="default"/>
      </items>
    </pivotField>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 numFmtId="10" showAll="0"/>
    <pivotField showAll="0"/>
  </pivotFields>
  <rowFields count="1">
    <field x="5"/>
  </rowFields>
  <rowItems count="5">
    <i>
      <x/>
    </i>
    <i>
      <x v="1"/>
    </i>
    <i>
      <x v="2"/>
    </i>
    <i>
      <x v="3"/>
    </i>
    <i t="grand">
      <x/>
    </i>
  </rowItems>
  <colItems count="1">
    <i/>
  </colItems>
  <dataFields count="1">
    <dataField name="Average of Quality Score %" fld="15" subtotal="average" baseField="5" baseItem="0" numFmtId="10"/>
  </dataFields>
  <formats count="1">
    <format dxfId="38">
      <pivotArea dataOnly="0" labelOnly="1" outline="0" axis="axisValues" fieldPosition="0"/>
    </format>
  </format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2C8D4C-50E8-4FAA-B4F1-FA84A37F33A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Month">
  <location ref="M3:P11" firstHeaderRow="0" firstDataRow="1" firstDataCol="1"/>
  <pivotFields count="18">
    <pivotField numFmtId="15" showAll="0"/>
    <pivotField axis="axisRow" showAll="0">
      <items count="8">
        <item x="0"/>
        <item x="1"/>
        <item x="2"/>
        <item x="3"/>
        <item x="4"/>
        <item x="5"/>
        <item x="6"/>
        <item t="default"/>
      </items>
    </pivotField>
    <pivotField showAll="0"/>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dataField="1" showAll="0"/>
    <pivotField dataField="1" showAll="0"/>
    <pivotField dataField="1" showAll="0"/>
    <pivotField showAll="0"/>
    <pivotField showAll="0"/>
    <pivotField showAll="0"/>
    <pivotField numFmtId="10" showAll="0"/>
    <pivotField numFmtId="10" showAll="0"/>
    <pivotField numFmtId="10" showAll="0"/>
    <pivotField showAll="0"/>
  </pivotFields>
  <rowFields count="1">
    <field x="1"/>
  </rowFields>
  <rowItems count="8">
    <i>
      <x/>
    </i>
    <i>
      <x v="1"/>
    </i>
    <i>
      <x v="2"/>
    </i>
    <i>
      <x v="3"/>
    </i>
    <i>
      <x v="4"/>
    </i>
    <i>
      <x v="5"/>
    </i>
    <i>
      <x v="6"/>
    </i>
    <i t="grand">
      <x/>
    </i>
  </rowItems>
  <colFields count="1">
    <field x="-2"/>
  </colFields>
  <colItems count="3">
    <i>
      <x/>
    </i>
    <i i="1">
      <x v="1"/>
    </i>
    <i i="2">
      <x v="2"/>
    </i>
  </colItems>
  <dataFields count="3">
    <dataField name="Sum of Completed Tasks" fld="9" baseField="0" baseItem="0"/>
    <dataField name="Sum of Pending Tasks" fld="10" baseField="0" baseItem="0"/>
    <dataField name="Sum of Target Tasks" fld="8" baseField="0" baseItem="0"/>
  </dataFields>
  <formats count="1">
    <format dxfId="39">
      <pivotArea dataOnly="0" labelOnly="1" outline="0" fieldPosition="0">
        <references count="1">
          <reference field="4294967294" count="3">
            <x v="0"/>
            <x v="1"/>
            <x v="2"/>
          </reference>
        </references>
      </pivotArea>
    </format>
  </formats>
  <chartFormats count="11">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2"/>
          </reference>
        </references>
      </pivotArea>
    </chartFormat>
    <chartFormat chart="14" format="3">
      <pivotArea type="data" outline="0" fieldPosition="0">
        <references count="2">
          <reference field="4294967294" count="1" selected="0">
            <x v="2"/>
          </reference>
          <reference field="1" count="1" selected="0">
            <x v="0"/>
          </reference>
        </references>
      </pivotArea>
    </chartFormat>
    <chartFormat chart="14" format="4">
      <pivotArea type="data" outline="0" fieldPosition="0">
        <references count="2">
          <reference field="4294967294" count="1" selected="0">
            <x v="2"/>
          </reference>
          <reference field="1" count="1" selected="0">
            <x v="1"/>
          </reference>
        </references>
      </pivotArea>
    </chartFormat>
    <chartFormat chart="14" format="5">
      <pivotArea type="data" outline="0" fieldPosition="0">
        <references count="2">
          <reference field="4294967294" count="1" selected="0">
            <x v="2"/>
          </reference>
          <reference field="1" count="1" selected="0">
            <x v="2"/>
          </reference>
        </references>
      </pivotArea>
    </chartFormat>
    <chartFormat chart="14" format="6">
      <pivotArea type="data" outline="0" fieldPosition="0">
        <references count="2">
          <reference field="4294967294" count="1" selected="0">
            <x v="2"/>
          </reference>
          <reference field="1" count="1" selected="0">
            <x v="3"/>
          </reference>
        </references>
      </pivotArea>
    </chartFormat>
    <chartFormat chart="14" format="7">
      <pivotArea type="data" outline="0" fieldPosition="0">
        <references count="2">
          <reference field="4294967294" count="1" selected="0">
            <x v="2"/>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FFD23D-A48D-4A97-9402-6955EC3B7F7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D14:E22" firstHeaderRow="1" firstDataRow="1" firstDataCol="1"/>
  <pivotFields count="18">
    <pivotField numFmtId="15" showAll="0"/>
    <pivotField axis="axisRow" showAll="0">
      <items count="8">
        <item x="0"/>
        <item x="1"/>
        <item x="2"/>
        <item x="3"/>
        <item x="4"/>
        <item x="5"/>
        <item x="6"/>
        <item t="default"/>
      </items>
    </pivotField>
    <pivotField showAll="0"/>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 numFmtId="10" showAll="0"/>
    <pivotField showAll="0"/>
  </pivotFields>
  <rowFields count="1">
    <field x="1"/>
  </rowFields>
  <rowItems count="8">
    <i>
      <x/>
    </i>
    <i>
      <x v="1"/>
    </i>
    <i>
      <x v="2"/>
    </i>
    <i>
      <x v="3"/>
    </i>
    <i>
      <x v="4"/>
    </i>
    <i>
      <x v="5"/>
    </i>
    <i>
      <x v="6"/>
    </i>
    <i t="grand">
      <x/>
    </i>
  </rowItems>
  <colItems count="1">
    <i/>
  </colItems>
  <dataFields count="1">
    <dataField name="Average of Productivity %" fld="14" subtotal="average" baseField="1" baseItem="0" numFmtId="10"/>
  </dataFields>
  <chartFormats count="2">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36CB93-4DE3-4224-B1E6-06637581A3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ment">
  <location ref="G3:H10" firstHeaderRow="1" firstDataRow="1" firstDataCol="1"/>
  <pivotFields count="18">
    <pivotField numFmtId="15" showAll="0"/>
    <pivotField showAll="0">
      <items count="8">
        <item x="0"/>
        <item x="1"/>
        <item x="2"/>
        <item x="3"/>
        <item x="4"/>
        <item x="5"/>
        <item x="6"/>
        <item t="default"/>
      </items>
    </pivotField>
    <pivotField showAll="0"/>
    <pivotField showAll="0"/>
    <pivotField axis="axisRow"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 numFmtId="10" showAll="0"/>
    <pivotField showAll="0"/>
  </pivotFields>
  <rowFields count="1">
    <field x="4"/>
  </rowFields>
  <rowItems count="7">
    <i>
      <x/>
    </i>
    <i>
      <x v="1"/>
    </i>
    <i>
      <x v="2"/>
    </i>
    <i>
      <x v="3"/>
    </i>
    <i>
      <x v="4"/>
    </i>
    <i>
      <x v="5"/>
    </i>
    <i t="grand">
      <x/>
    </i>
  </rowItems>
  <colItems count="1">
    <i/>
  </colItems>
  <dataFields count="1">
    <dataField name="Average of Productivity %" fld="14" subtotal="average" baseField="4" baseItem="0" numFmtId="1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7B5374-D0F4-4FA2-9DD6-C5632457AAE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erformance Status">
  <location ref="J14:K18" firstHeaderRow="1" firstDataRow="1" firstDataCol="1"/>
  <pivotFields count="18">
    <pivotField numFmtId="15" showAll="0"/>
    <pivotField showAll="0">
      <items count="8">
        <item x="0"/>
        <item x="1"/>
        <item x="2"/>
        <item x="3"/>
        <item x="4"/>
        <item x="5"/>
        <item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items count="4">
        <item x="1"/>
        <item x="0"/>
        <item x="2"/>
        <item t="default"/>
      </items>
    </pivotField>
    <pivotField showAll="0"/>
    <pivotField showAll="0"/>
    <pivotField showAll="0"/>
    <pivotField showAll="0"/>
    <pivotField showAll="0"/>
    <pivotField showAll="0"/>
    <pivotField numFmtId="10" showAll="0"/>
    <pivotField numFmtId="10" showAll="0"/>
    <pivotField numFmtId="10" showAll="0"/>
    <pivotField axis="axisRow" showAll="0">
      <items count="4">
        <item x="0"/>
        <item x="2"/>
        <item x="1"/>
        <item t="default"/>
      </items>
    </pivotField>
  </pivotFields>
  <rowFields count="1">
    <field x="17"/>
  </rowFields>
  <rowItems count="4">
    <i>
      <x/>
    </i>
    <i>
      <x v="1"/>
    </i>
    <i>
      <x v="2"/>
    </i>
    <i t="grand">
      <x/>
    </i>
  </rowItems>
  <colItems count="1">
    <i/>
  </colItems>
  <dataFields count="1">
    <dataField name="Count of Emp ID" fld="2" subtotal="count" baseField="0" baseItem="0"/>
  </dataFields>
  <chartFormats count="1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7" count="1" selected="0">
            <x v="0"/>
          </reference>
        </references>
      </pivotArea>
    </chartFormat>
    <chartFormat chart="3" format="3">
      <pivotArea type="data" outline="0" fieldPosition="0">
        <references count="2">
          <reference field="4294967294" count="1" selected="0">
            <x v="0"/>
          </reference>
          <reference field="17" count="1" selected="0">
            <x v="1"/>
          </reference>
        </references>
      </pivotArea>
    </chartFormat>
    <chartFormat chart="3" format="4">
      <pivotArea type="data" outline="0" fieldPosition="0">
        <references count="2">
          <reference field="4294967294" count="1" selected="0">
            <x v="0"/>
          </reference>
          <reference field="17"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7" count="1" selected="0">
            <x v="0"/>
          </reference>
        </references>
      </pivotArea>
    </chartFormat>
    <chartFormat chart="4" format="7">
      <pivotArea type="data" outline="0" fieldPosition="0">
        <references count="2">
          <reference field="4294967294" count="1" selected="0">
            <x v="0"/>
          </reference>
          <reference field="17" count="1" selected="0">
            <x v="1"/>
          </reference>
        </references>
      </pivotArea>
    </chartFormat>
    <chartFormat chart="4" format="8">
      <pivotArea type="data" outline="0" fieldPosition="0">
        <references count="2">
          <reference field="4294967294" count="1" selected="0">
            <x v="0"/>
          </reference>
          <reference field="17"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7" count="1" selected="0">
            <x v="0"/>
          </reference>
        </references>
      </pivotArea>
    </chartFormat>
    <chartFormat chart="5" format="7">
      <pivotArea type="data" outline="0" fieldPosition="0">
        <references count="2">
          <reference field="4294967294" count="1" selected="0">
            <x v="0"/>
          </reference>
          <reference field="17" count="1" selected="0">
            <x v="1"/>
          </reference>
        </references>
      </pivotArea>
    </chartFormat>
    <chartFormat chart="5"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24A83E-18BC-4644-B2D6-1F03B3B6B9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D3:E10" firstHeaderRow="1" firstDataRow="1" firstDataCol="1"/>
  <pivotFields count="18">
    <pivotField numFmtId="15" showAll="0"/>
    <pivotField showAll="0">
      <items count="8">
        <item x="0"/>
        <item x="1"/>
        <item x="2"/>
        <item x="3"/>
        <item x="4"/>
        <item x="5"/>
        <item x="6"/>
        <item t="default"/>
      </items>
    </pivotField>
    <pivotField showAll="0"/>
    <pivotField showAll="0"/>
    <pivotField axis="axisRow"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numFmtId="10" showAll="0"/>
    <pivotField dataField="1" numFmtId="10" showAll="0"/>
    <pivotField showAll="0"/>
  </pivotFields>
  <rowFields count="1">
    <field x="4"/>
  </rowFields>
  <rowItems count="7">
    <i>
      <x/>
    </i>
    <i>
      <x v="1"/>
    </i>
    <i>
      <x v="2"/>
    </i>
    <i>
      <x v="3"/>
    </i>
    <i>
      <x v="4"/>
    </i>
    <i>
      <x v="5"/>
    </i>
    <i t="grand">
      <x/>
    </i>
  </rowItems>
  <colItems count="1">
    <i/>
  </colItems>
  <dataFields count="1">
    <dataField name="Average of Achievement %" fld="16" subtotal="average" baseField="4" baseItem="0" numFmtId="10"/>
  </dataField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0"/>
          </reference>
        </references>
      </pivotArea>
    </chartFormat>
    <chartFormat chart="6" format="10">
      <pivotArea type="data" outline="0" fieldPosition="0">
        <references count="2">
          <reference field="4294967294" count="1" selected="0">
            <x v="0"/>
          </reference>
          <reference field="4" count="1" selected="0">
            <x v="1"/>
          </reference>
        </references>
      </pivotArea>
    </chartFormat>
    <chartFormat chart="6" format="11">
      <pivotArea type="data" outline="0" fieldPosition="0">
        <references count="2">
          <reference field="4294967294" count="1" selected="0">
            <x v="0"/>
          </reference>
          <reference field="4" count="1" selected="0">
            <x v="2"/>
          </reference>
        </references>
      </pivotArea>
    </chartFormat>
    <chartFormat chart="6" format="12">
      <pivotArea type="data" outline="0" fieldPosition="0">
        <references count="2">
          <reference field="4294967294" count="1" selected="0">
            <x v="0"/>
          </reference>
          <reference field="4" count="1" selected="0">
            <x v="3"/>
          </reference>
        </references>
      </pivotArea>
    </chartFormat>
    <chartFormat chart="6" format="13">
      <pivotArea type="data" outline="0" fieldPosition="0">
        <references count="2">
          <reference field="4294967294" count="1" selected="0">
            <x v="0"/>
          </reference>
          <reference field="4" count="1" selected="0">
            <x v="4"/>
          </reference>
        </references>
      </pivotArea>
    </chartFormat>
    <chartFormat chart="6"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78EBB9-7F52-4E92-8611-35F4E022299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ttendance Status">
  <location ref="J20:K24" firstHeaderRow="1" firstDataRow="1" firstDataCol="1"/>
  <pivotFields count="18">
    <pivotField numFmtId="15" showAll="0"/>
    <pivotField showAll="0">
      <items count="8">
        <item x="0"/>
        <item x="1"/>
        <item x="2"/>
        <item x="3"/>
        <item x="4"/>
        <item x="5"/>
        <item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numFmtId="10" showAll="0"/>
    <pivotField numFmtId="10" showAll="0"/>
    <pivotField numFmtId="10" showAll="0"/>
    <pivotField showAll="0"/>
  </pivotFields>
  <rowFields count="1">
    <field x="7"/>
  </rowFields>
  <rowItems count="4">
    <i>
      <x/>
    </i>
    <i>
      <x v="1"/>
    </i>
    <i>
      <x v="2"/>
    </i>
    <i t="grand">
      <x/>
    </i>
  </rowItems>
  <colItems count="1">
    <i/>
  </colItems>
  <dataFields count="1">
    <dataField name="Count of Emp ID" fld="2"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AF6A1F3-C0B7-4228-ADAB-FB1582B22F3D}" sourceName="Month">
  <pivotTables>
    <pivotTable tabId="4" name="PivotTable8"/>
    <pivotTable tabId="4" name="PivotTable10"/>
    <pivotTable tabId="4" name="PivotTable3"/>
    <pivotTable tabId="4" name="PivotTable4"/>
    <pivotTable tabId="4" name="PivotTable7"/>
    <pivotTable tabId="4" name="PivotTable9"/>
  </pivotTables>
  <data>
    <tabular pivotCacheId="1289038185">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A184221-95EC-4A7A-9295-D837CA43E7D8}" sourceName="Department">
  <pivotTables>
    <pivotTable tabId="4" name="PivotTable3"/>
    <pivotTable tabId="4" name="PivotTable10"/>
    <pivotTable tabId="4" name="PivotTable4"/>
    <pivotTable tabId="4" name="PivotTable7"/>
    <pivotTable tabId="4" name="PivotTable8"/>
    <pivotTable tabId="4" name="PivotTable9"/>
  </pivotTables>
  <data>
    <tabular pivotCacheId="1289038185">
      <items count="6">
        <i x="2" s="1"/>
        <i x="3" s="1"/>
        <i x="5"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493006-DFA3-4B64-B5EF-3AA3D5AC0F13}" sourceName="Region">
  <pivotTables>
    <pivotTable tabId="4" name="PivotTable5"/>
    <pivotTable tabId="4" name="PivotTable10"/>
    <pivotTable tabId="4" name="PivotTable3"/>
    <pivotTable tabId="4" name="PivotTable4"/>
    <pivotTable tabId="4" name="PivotTable6"/>
    <pivotTable tabId="4" name="PivotTable7"/>
    <pivotTable tabId="4" name="PivotTable8"/>
    <pivotTable tabId="4" name="PivotTable9"/>
  </pivotTables>
  <data>
    <tabular pivotCacheId="1289038185">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F4DEB2A-CA23-4BEF-8296-386FBA199245}" cache="Slicer_Month" caption="Month" columnCount="2" style="Slicer Style 3" rowHeight="247650"/>
  <slicer name="Department" xr10:uid="{DC9D2DF1-45DF-46AB-AC33-0C8CC3D7BC69}" cache="Slicer_Department" caption="Department" style="Slicer Style 3" rowHeight="247650"/>
  <slicer name="Region" xr10:uid="{D788300E-831F-4013-8187-E754BB01F4E8}" cache="Slicer_Region" caption="Region" style="Slicer Style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E7FB95-AEE7-45CA-A521-BA2C97CF9569}" name="Table1" displayName="Table1" ref="A1:R90" totalsRowShown="0" headerRowDxfId="37" dataDxfId="36" tableBorderDxfId="35">
  <autoFilter ref="A1:R90" xr:uid="{69FC0A94-E23B-4576-997B-E8EFE3ED05AC}"/>
  <tableColumns count="18">
    <tableColumn id="1" xr3:uid="{AC43BF7F-5E27-44C8-A205-26F114CA8FCF}" name="Date" dataDxfId="34"/>
    <tableColumn id="2" xr3:uid="{7FEED3FC-D153-4DD1-866B-35C4AB5282B7}" name="Month" dataDxfId="33"/>
    <tableColumn id="3" xr3:uid="{DCDB28CB-2F24-4051-851F-3579270C8163}" name="Emp ID" dataDxfId="32"/>
    <tableColumn id="4" xr3:uid="{27EC3123-4238-43F5-B7D7-D8A5B5B8A45F}" name="Employee Name" dataDxfId="31"/>
    <tableColumn id="5" xr3:uid="{E45D1BF5-B4EC-4FE4-8CE9-9096E183FB44}" name="Department" dataDxfId="30"/>
    <tableColumn id="6" xr3:uid="{D9FBEA35-452B-4FF4-970D-CC6B8D2A8F03}" name="Region" dataDxfId="29"/>
    <tableColumn id="7" xr3:uid="{EF25F711-6665-4989-90A8-ED289742265E}" name="Working Days" dataDxfId="28"/>
    <tableColumn id="8" xr3:uid="{3ED9D940-8769-4A6A-918E-C8DFA6B4A156}" name="Attendance Status" dataDxfId="27"/>
    <tableColumn id="9" xr3:uid="{1176ADA9-4C5D-4B3C-B12D-A2B61F4ECDDA}" name="Target Tasks" dataDxfId="26"/>
    <tableColumn id="10" xr3:uid="{8CE200D0-6DBD-48AD-91FD-17145A659135}" name="Completed Tasks" dataDxfId="25"/>
    <tableColumn id="11" xr3:uid="{7E358F37-4ADF-46DD-9D7B-7BAFF186BA07}" name="Pending Tasks" dataDxfId="24"/>
    <tableColumn id="12" xr3:uid="{12F77927-69AB-434F-9890-C8B93DCA16D1}" name="Target Hours" dataDxfId="23"/>
    <tableColumn id="13" xr3:uid="{D099350F-3C2D-4C35-932F-BA4C07A91BD6}" name="Actual Hours" dataDxfId="22"/>
    <tableColumn id="14" xr3:uid="{8274ADBD-B203-4B21-AF7C-AC7638F7AD6E}" name="Overtime Hours" dataDxfId="21"/>
    <tableColumn id="15" xr3:uid="{17C60453-F4A9-46BF-B473-8DB5393080E8}" name="Productivity %" dataDxfId="20"/>
    <tableColumn id="16" xr3:uid="{7E045E47-EB1F-47D3-8C6A-E4631BB408A2}" name="Quality Score %" dataDxfId="19"/>
    <tableColumn id="17" xr3:uid="{8A8468AF-374D-48F4-B7BF-C909B0F527E7}" name="Achievement %" dataDxfId="18"/>
    <tableColumn id="18" xr3:uid="{7173DE55-BAB1-4510-9C55-C01CE51D26FC}" name="Performance Status" dataDxfId="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74BAC-C5CF-4CC6-9AA3-0BB32D5DF3D1}">
  <dimension ref="A1"/>
  <sheetViews>
    <sheetView showGridLines="0" tabSelected="1" zoomScale="94" zoomScaleNormal="94" workbookViewId="0">
      <selection activeCell="T46" sqref="T46"/>
    </sheetView>
  </sheetViews>
  <sheetFormatPr defaultRowHeight="13.8" x14ac:dyDescent="0.25"/>
  <cols>
    <col min="1" max="16384" width="8.8867187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E93A2-1FBA-47D1-B733-DFCD37091581}">
  <dimension ref="A1:P25"/>
  <sheetViews>
    <sheetView showGridLines="0" workbookViewId="0">
      <selection activeCell="A18" sqref="A18"/>
    </sheetView>
  </sheetViews>
  <sheetFormatPr defaultRowHeight="14.4" x14ac:dyDescent="0.3"/>
  <cols>
    <col min="1" max="1" width="17.6640625" customWidth="1"/>
    <col min="2" max="2" width="14.77734375" customWidth="1"/>
    <col min="3" max="3" width="3" customWidth="1"/>
    <col min="4" max="4" width="10.5546875" bestFit="1" customWidth="1"/>
    <col min="5" max="5" width="22.109375" bestFit="1" customWidth="1"/>
    <col min="6" max="6" width="2" customWidth="1"/>
    <col min="7" max="7" width="13.21875" bestFit="1" customWidth="1"/>
    <col min="8" max="8" width="22.109375" bestFit="1" customWidth="1"/>
    <col min="9" max="9" width="4.44140625" customWidth="1"/>
    <col min="10" max="10" width="18.5546875" bestFit="1" customWidth="1"/>
    <col min="11" max="11" width="14.109375" bestFit="1" customWidth="1"/>
    <col min="12" max="12" width="3.88671875" customWidth="1"/>
    <col min="13" max="13" width="10.5546875" bestFit="1" customWidth="1"/>
    <col min="14" max="14" width="15.44140625" bestFit="1" customWidth="1"/>
    <col min="15" max="15" width="13.77734375" bestFit="1" customWidth="1"/>
    <col min="16" max="16" width="11.109375" bestFit="1" customWidth="1"/>
  </cols>
  <sheetData>
    <row r="1" spans="1:16" ht="17.399999999999999" x14ac:dyDescent="0.3">
      <c r="D1" s="22" t="s">
        <v>100</v>
      </c>
      <c r="E1" s="23"/>
      <c r="F1" s="23"/>
      <c r="G1" s="23"/>
      <c r="H1" s="23"/>
      <c r="I1" s="23"/>
      <c r="J1" s="23"/>
      <c r="K1" s="23"/>
      <c r="L1" s="23"/>
      <c r="M1" s="23"/>
      <c r="N1" s="23"/>
      <c r="O1" s="23"/>
      <c r="P1" s="23"/>
    </row>
    <row r="2" spans="1:16" ht="16.8" customHeight="1" x14ac:dyDescent="0.3"/>
    <row r="3" spans="1:16" ht="28.8" x14ac:dyDescent="0.3">
      <c r="D3" s="9" t="s">
        <v>4</v>
      </c>
      <c r="E3" t="s">
        <v>82</v>
      </c>
      <c r="G3" s="9" t="s">
        <v>4</v>
      </c>
      <c r="H3" t="s">
        <v>83</v>
      </c>
      <c r="J3" s="9" t="s">
        <v>85</v>
      </c>
      <c r="K3" s="19" t="s">
        <v>84</v>
      </c>
      <c r="M3" s="9" t="s">
        <v>1</v>
      </c>
      <c r="N3" s="19" t="s">
        <v>86</v>
      </c>
      <c r="O3" s="19" t="s">
        <v>87</v>
      </c>
      <c r="P3" s="19" t="s">
        <v>99</v>
      </c>
    </row>
    <row r="4" spans="1:16" x14ac:dyDescent="0.3">
      <c r="A4" s="12" t="s">
        <v>89</v>
      </c>
      <c r="B4" s="12" t="s">
        <v>90</v>
      </c>
      <c r="D4" s="10" t="s">
        <v>37</v>
      </c>
      <c r="E4" s="11">
        <v>0.92128571428571437</v>
      </c>
      <c r="G4" s="10" t="s">
        <v>37</v>
      </c>
      <c r="H4" s="11">
        <v>0.92964285714285733</v>
      </c>
      <c r="J4" s="10" t="s">
        <v>22</v>
      </c>
      <c r="K4" s="11">
        <v>0.90867999999999993</v>
      </c>
      <c r="M4" s="10" t="s">
        <v>18</v>
      </c>
      <c r="N4" s="21">
        <v>209</v>
      </c>
      <c r="O4" s="21">
        <v>133</v>
      </c>
      <c r="P4" s="21">
        <v>201</v>
      </c>
    </row>
    <row r="5" spans="1:16" x14ac:dyDescent="0.3">
      <c r="A5" s="13" t="s">
        <v>91</v>
      </c>
      <c r="B5" s="14">
        <f>GETPIVOTDATA("Emp ID",$J$20)</f>
        <v>89</v>
      </c>
      <c r="D5" s="10" t="s">
        <v>43</v>
      </c>
      <c r="E5" s="11">
        <v>0.90971428571428581</v>
      </c>
      <c r="G5" s="10" t="s">
        <v>43</v>
      </c>
      <c r="H5" s="11">
        <v>0.91899999999999993</v>
      </c>
      <c r="J5" s="10" t="s">
        <v>32</v>
      </c>
      <c r="K5" s="11">
        <v>0.89919047619047632</v>
      </c>
      <c r="M5" s="10" t="s">
        <v>64</v>
      </c>
      <c r="N5" s="21">
        <v>173</v>
      </c>
      <c r="O5" s="21">
        <v>79</v>
      </c>
      <c r="P5" s="21">
        <v>170</v>
      </c>
    </row>
    <row r="6" spans="1:16" x14ac:dyDescent="0.3">
      <c r="A6" s="13" t="s">
        <v>92</v>
      </c>
      <c r="B6" s="15">
        <f>GETPIVOTDATA("Productivity %",$G$3)</f>
        <v>0.91858426966292162</v>
      </c>
      <c r="D6" s="10" t="s">
        <v>55</v>
      </c>
      <c r="E6" s="11">
        <v>0.90069230769230768</v>
      </c>
      <c r="G6" s="10" t="s">
        <v>55</v>
      </c>
      <c r="H6" s="11">
        <v>0.91823076923076929</v>
      </c>
      <c r="J6" s="10" t="s">
        <v>38</v>
      </c>
      <c r="K6" s="11">
        <v>0.83890909090909094</v>
      </c>
      <c r="M6" s="10" t="s">
        <v>71</v>
      </c>
      <c r="N6" s="21">
        <v>175</v>
      </c>
      <c r="O6" s="21">
        <v>69</v>
      </c>
      <c r="P6" s="21">
        <v>185</v>
      </c>
    </row>
    <row r="7" spans="1:16" x14ac:dyDescent="0.3">
      <c r="A7" s="13" t="s">
        <v>93</v>
      </c>
      <c r="B7" s="15">
        <f>GETPIVOTDATA("Achievement %",$D$3)</f>
        <v>0.90624719101123585</v>
      </c>
      <c r="D7" s="10" t="s">
        <v>31</v>
      </c>
      <c r="E7" s="11">
        <v>0.87405555555555559</v>
      </c>
      <c r="G7" s="10" t="s">
        <v>31</v>
      </c>
      <c r="H7" s="11">
        <v>0.89044444444444459</v>
      </c>
      <c r="J7" s="10" t="s">
        <v>27</v>
      </c>
      <c r="K7" s="11">
        <v>0.9027142857142858</v>
      </c>
      <c r="M7" s="10" t="s">
        <v>75</v>
      </c>
      <c r="N7" s="21">
        <v>154</v>
      </c>
      <c r="O7" s="21">
        <v>80</v>
      </c>
      <c r="P7" s="21">
        <v>158</v>
      </c>
    </row>
    <row r="8" spans="1:16" x14ac:dyDescent="0.3">
      <c r="A8" s="13" t="s">
        <v>94</v>
      </c>
      <c r="B8" s="14">
        <f>GETPIVOTDATA("Sum of Completed Tasks",$M$3)</f>
        <v>1177</v>
      </c>
      <c r="D8" s="10" t="s">
        <v>49</v>
      </c>
      <c r="E8" s="11">
        <v>0.89715384615384608</v>
      </c>
      <c r="G8" s="10" t="s">
        <v>49</v>
      </c>
      <c r="H8" s="11">
        <v>0.90399999999999991</v>
      </c>
      <c r="J8" s="10" t="s">
        <v>81</v>
      </c>
      <c r="K8" s="11">
        <v>0.88778651685393262</v>
      </c>
      <c r="M8" s="10" t="s">
        <v>78</v>
      </c>
      <c r="N8" s="21">
        <v>179</v>
      </c>
      <c r="O8" s="21">
        <v>62</v>
      </c>
      <c r="P8" s="21">
        <v>182</v>
      </c>
    </row>
    <row r="9" spans="1:16" x14ac:dyDescent="0.3">
      <c r="A9" s="13" t="s">
        <v>95</v>
      </c>
      <c r="B9" s="15">
        <f>GETPIVOTDATA("Quality Score %",$J$3)</f>
        <v>0.88778651685393262</v>
      </c>
      <c r="D9" s="10" t="s">
        <v>21</v>
      </c>
      <c r="E9" s="11">
        <v>0.93629411764705872</v>
      </c>
      <c r="G9" s="10" t="s">
        <v>21</v>
      </c>
      <c r="H9" s="11">
        <v>0.95035294117647051</v>
      </c>
      <c r="M9" s="10" t="s">
        <v>79</v>
      </c>
      <c r="N9" s="21">
        <v>178</v>
      </c>
      <c r="O9" s="21">
        <v>65</v>
      </c>
      <c r="P9" s="21">
        <v>184</v>
      </c>
    </row>
    <row r="10" spans="1:16" x14ac:dyDescent="0.3">
      <c r="A10" s="13" t="s">
        <v>98</v>
      </c>
      <c r="B10" s="20">
        <f>GETPIVOTDATA("Sum of Target Tasks",$M$3)</f>
        <v>1195</v>
      </c>
      <c r="D10" s="10" t="s">
        <v>81</v>
      </c>
      <c r="E10" s="11">
        <v>0.90624719101123585</v>
      </c>
      <c r="G10" s="10" t="s">
        <v>81</v>
      </c>
      <c r="H10" s="11">
        <v>0.91858426966292162</v>
      </c>
      <c r="M10" s="10" t="s">
        <v>80</v>
      </c>
      <c r="N10" s="21">
        <v>109</v>
      </c>
      <c r="O10" s="21">
        <v>40</v>
      </c>
      <c r="P10" s="21">
        <v>115</v>
      </c>
    </row>
    <row r="11" spans="1:16" x14ac:dyDescent="0.3">
      <c r="M11" s="10" t="s">
        <v>81</v>
      </c>
      <c r="N11" s="21">
        <v>1177</v>
      </c>
      <c r="O11" s="21">
        <v>528</v>
      </c>
      <c r="P11" s="21">
        <v>1195</v>
      </c>
    </row>
    <row r="12" spans="1:16" ht="28.8" x14ac:dyDescent="0.3">
      <c r="A12" s="16" t="s">
        <v>96</v>
      </c>
      <c r="B12" s="24" t="s">
        <v>97</v>
      </c>
    </row>
    <row r="13" spans="1:16" x14ac:dyDescent="0.3">
      <c r="A13" s="17">
        <f>GETPIVOTDATA("Sum of Completed Tasks",$M$3)/2900</f>
        <v>0.40586206896551724</v>
      </c>
      <c r="B13" s="11">
        <f>100%-A13</f>
        <v>0.59413793103448276</v>
      </c>
    </row>
    <row r="14" spans="1:16" x14ac:dyDescent="0.3">
      <c r="D14" s="9" t="s">
        <v>1</v>
      </c>
      <c r="E14" t="s">
        <v>83</v>
      </c>
      <c r="G14" s="9" t="s">
        <v>3</v>
      </c>
      <c r="H14" t="s">
        <v>82</v>
      </c>
      <c r="J14" s="9" t="s">
        <v>17</v>
      </c>
      <c r="K14" t="s">
        <v>88</v>
      </c>
    </row>
    <row r="15" spans="1:16" x14ac:dyDescent="0.3">
      <c r="D15" s="10" t="s">
        <v>18</v>
      </c>
      <c r="E15" s="11">
        <v>0.96260000000000001</v>
      </c>
      <c r="G15" s="10" t="s">
        <v>20</v>
      </c>
      <c r="H15" s="11">
        <v>0.96779999999999988</v>
      </c>
      <c r="J15" s="10" t="s">
        <v>24</v>
      </c>
      <c r="K15" s="21">
        <v>58</v>
      </c>
    </row>
    <row r="16" spans="1:16" x14ac:dyDescent="0.3">
      <c r="D16" s="10" t="s">
        <v>64</v>
      </c>
      <c r="E16" s="11">
        <v>0.94374999999999998</v>
      </c>
      <c r="G16" s="10" t="s">
        <v>77</v>
      </c>
      <c r="H16" s="11">
        <v>0.93299999999999994</v>
      </c>
      <c r="J16" s="10" t="s">
        <v>74</v>
      </c>
      <c r="K16" s="21">
        <v>11</v>
      </c>
    </row>
    <row r="17" spans="4:12" x14ac:dyDescent="0.3">
      <c r="D17" s="10" t="s">
        <v>71</v>
      </c>
      <c r="E17" s="11">
        <v>0.85171428571428598</v>
      </c>
      <c r="G17" s="10" t="s">
        <v>40</v>
      </c>
      <c r="H17" s="11">
        <v>0.97300000000000009</v>
      </c>
      <c r="J17" s="10" t="s">
        <v>50</v>
      </c>
      <c r="K17" s="21">
        <v>20</v>
      </c>
    </row>
    <row r="18" spans="4:12" x14ac:dyDescent="0.3">
      <c r="D18" s="10" t="s">
        <v>75</v>
      </c>
      <c r="E18" s="11">
        <v>0.93092307692307696</v>
      </c>
      <c r="G18" s="10" t="s">
        <v>26</v>
      </c>
      <c r="H18" s="11">
        <v>0.93099999999999983</v>
      </c>
      <c r="J18" s="10" t="s">
        <v>81</v>
      </c>
      <c r="K18" s="21">
        <v>89</v>
      </c>
    </row>
    <row r="19" spans="4:12" x14ac:dyDescent="0.3">
      <c r="D19" s="10" t="s">
        <v>78</v>
      </c>
      <c r="E19" s="11">
        <v>0.91907142857142865</v>
      </c>
      <c r="G19" s="10" t="s">
        <v>45</v>
      </c>
      <c r="H19" s="11">
        <v>0.93479999999999985</v>
      </c>
    </row>
    <row r="20" spans="4:12" x14ac:dyDescent="0.3">
      <c r="D20" s="10" t="s">
        <v>79</v>
      </c>
      <c r="E20" s="11">
        <v>0.91184615384615375</v>
      </c>
      <c r="G20" s="10" t="s">
        <v>81</v>
      </c>
      <c r="H20" s="11">
        <v>0.9492173913043479</v>
      </c>
      <c r="J20" s="9" t="s">
        <v>7</v>
      </c>
      <c r="K20" t="s">
        <v>88</v>
      </c>
    </row>
    <row r="21" spans="4:12" x14ac:dyDescent="0.3">
      <c r="D21" s="10" t="s">
        <v>80</v>
      </c>
      <c r="E21" s="11">
        <v>0.90537500000000004</v>
      </c>
      <c r="J21" s="10" t="s">
        <v>28</v>
      </c>
      <c r="K21" s="21">
        <v>8</v>
      </c>
    </row>
    <row r="22" spans="4:12" x14ac:dyDescent="0.3">
      <c r="D22" s="10" t="s">
        <v>81</v>
      </c>
      <c r="E22" s="11">
        <v>0.91858426966292139</v>
      </c>
      <c r="J22" s="10" t="s">
        <v>23</v>
      </c>
      <c r="K22" s="21">
        <v>67</v>
      </c>
    </row>
    <row r="23" spans="4:12" x14ac:dyDescent="0.3">
      <c r="J23" s="10" t="s">
        <v>46</v>
      </c>
      <c r="K23" s="21">
        <v>14</v>
      </c>
    </row>
    <row r="24" spans="4:12" x14ac:dyDescent="0.3">
      <c r="J24" s="10" t="s">
        <v>81</v>
      </c>
      <c r="K24" s="21">
        <v>89</v>
      </c>
    </row>
    <row r="25" spans="4:12" x14ac:dyDescent="0.3">
      <c r="K25" s="10"/>
      <c r="L25" s="11"/>
    </row>
  </sheetData>
  <mergeCells count="1">
    <mergeCell ref="D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0A94-E23B-4576-997B-E8EFE3ED05AC}">
  <dimension ref="A1:R90"/>
  <sheetViews>
    <sheetView topLeftCell="B1" zoomScale="70" zoomScaleNormal="70" workbookViewId="0">
      <selection activeCell="V18" sqref="V18"/>
    </sheetView>
  </sheetViews>
  <sheetFormatPr defaultRowHeight="14.4" x14ac:dyDescent="0.3"/>
  <cols>
    <col min="1" max="1" width="16.109375" customWidth="1"/>
    <col min="2" max="2" width="12.109375" customWidth="1"/>
    <col min="3" max="3" width="8.88671875" customWidth="1"/>
    <col min="4" max="4" width="16.6640625" customWidth="1"/>
    <col min="5" max="5" width="13" customWidth="1"/>
    <col min="7" max="7" width="14.44140625" customWidth="1"/>
    <col min="8" max="8" width="18.33203125" customWidth="1"/>
    <col min="9" max="9" width="13.21875" customWidth="1"/>
    <col min="10" max="10" width="17.109375" customWidth="1"/>
    <col min="11" max="11" width="14.77734375" customWidth="1"/>
    <col min="12" max="13" width="13.5546875" customWidth="1"/>
    <col min="14" max="14" width="16" customWidth="1"/>
    <col min="15" max="15" width="15" customWidth="1"/>
    <col min="16" max="17" width="15.88671875" customWidth="1"/>
    <col min="18" max="18" width="19.44140625" customWidth="1"/>
  </cols>
  <sheetData>
    <row r="1" spans="1:18" x14ac:dyDescent="0.3">
      <c r="A1" s="7" t="s">
        <v>0</v>
      </c>
      <c r="B1" s="7" t="s">
        <v>1</v>
      </c>
      <c r="C1" s="8"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row>
    <row r="2" spans="1:18" x14ac:dyDescent="0.3">
      <c r="A2" s="1">
        <v>46023</v>
      </c>
      <c r="B2" s="2" t="s">
        <v>18</v>
      </c>
      <c r="C2" s="2" t="s">
        <v>19</v>
      </c>
      <c r="D2" s="2" t="s">
        <v>20</v>
      </c>
      <c r="E2" s="2" t="s">
        <v>21</v>
      </c>
      <c r="F2" s="2" t="s">
        <v>22</v>
      </c>
      <c r="G2" s="2">
        <v>22</v>
      </c>
      <c r="H2" s="2" t="s">
        <v>23</v>
      </c>
      <c r="I2" s="2">
        <v>8</v>
      </c>
      <c r="J2" s="2">
        <v>10</v>
      </c>
      <c r="K2" s="2">
        <v>0</v>
      </c>
      <c r="L2" s="2">
        <v>8</v>
      </c>
      <c r="M2" s="2">
        <v>8.5</v>
      </c>
      <c r="N2" s="2">
        <v>0.5</v>
      </c>
      <c r="O2" s="3">
        <v>1</v>
      </c>
      <c r="P2" s="3">
        <v>0.91100000000000003</v>
      </c>
      <c r="Q2" s="3">
        <v>0.96399999999999997</v>
      </c>
      <c r="R2" s="2" t="s">
        <v>24</v>
      </c>
    </row>
    <row r="3" spans="1:18" x14ac:dyDescent="0.3">
      <c r="A3" s="1">
        <v>46025</v>
      </c>
      <c r="B3" s="2" t="s">
        <v>18</v>
      </c>
      <c r="C3" s="2" t="s">
        <v>25</v>
      </c>
      <c r="D3" s="2" t="s">
        <v>26</v>
      </c>
      <c r="E3" s="2" t="s">
        <v>21</v>
      </c>
      <c r="F3" s="2" t="s">
        <v>27</v>
      </c>
      <c r="G3" s="2">
        <v>20</v>
      </c>
      <c r="H3" s="2" t="s">
        <v>28</v>
      </c>
      <c r="I3" s="2">
        <v>19</v>
      </c>
      <c r="J3" s="2">
        <v>20</v>
      </c>
      <c r="K3" s="2">
        <v>0</v>
      </c>
      <c r="L3" s="2">
        <v>7</v>
      </c>
      <c r="M3" s="2">
        <v>6.8</v>
      </c>
      <c r="N3" s="2">
        <v>0</v>
      </c>
      <c r="O3" s="3">
        <v>1</v>
      </c>
      <c r="P3" s="3">
        <v>0.88700000000000001</v>
      </c>
      <c r="Q3" s="3">
        <v>0.95499999999999996</v>
      </c>
      <c r="R3" s="2" t="s">
        <v>24</v>
      </c>
    </row>
    <row r="4" spans="1:18" x14ac:dyDescent="0.3">
      <c r="A4" s="1">
        <v>46027</v>
      </c>
      <c r="B4" s="2" t="s">
        <v>18</v>
      </c>
      <c r="C4" s="2" t="s">
        <v>29</v>
      </c>
      <c r="D4" s="2" t="s">
        <v>30</v>
      </c>
      <c r="E4" s="2" t="s">
        <v>31</v>
      </c>
      <c r="F4" s="2" t="s">
        <v>32</v>
      </c>
      <c r="G4" s="2">
        <v>20</v>
      </c>
      <c r="H4" s="2" t="s">
        <v>23</v>
      </c>
      <c r="I4" s="2">
        <v>11</v>
      </c>
      <c r="J4" s="2">
        <v>12</v>
      </c>
      <c r="K4" s="2">
        <v>0</v>
      </c>
      <c r="L4" s="2">
        <v>9</v>
      </c>
      <c r="M4" s="2">
        <v>9.6999999999999993</v>
      </c>
      <c r="N4" s="2">
        <v>0.7</v>
      </c>
      <c r="O4" s="3">
        <v>1</v>
      </c>
      <c r="P4" s="3">
        <v>0.92400000000000004</v>
      </c>
      <c r="Q4" s="3">
        <v>0.97</v>
      </c>
      <c r="R4" s="2" t="s">
        <v>24</v>
      </c>
    </row>
    <row r="5" spans="1:18" x14ac:dyDescent="0.3">
      <c r="A5" s="1">
        <v>46029</v>
      </c>
      <c r="B5" s="2" t="s">
        <v>18</v>
      </c>
      <c r="C5" s="2" t="s">
        <v>33</v>
      </c>
      <c r="D5" s="2" t="s">
        <v>34</v>
      </c>
      <c r="E5" s="2" t="s">
        <v>31</v>
      </c>
      <c r="F5" s="2" t="s">
        <v>22</v>
      </c>
      <c r="G5" s="2">
        <v>22</v>
      </c>
      <c r="H5" s="2" t="s">
        <v>28</v>
      </c>
      <c r="I5" s="2">
        <v>16</v>
      </c>
      <c r="J5" s="2">
        <v>16</v>
      </c>
      <c r="K5" s="2">
        <v>0</v>
      </c>
      <c r="L5" s="2">
        <v>7</v>
      </c>
      <c r="M5" s="2">
        <v>8.6999999999999993</v>
      </c>
      <c r="N5" s="2">
        <v>1.7</v>
      </c>
      <c r="O5" s="3">
        <v>0.99199999999999999</v>
      </c>
      <c r="P5" s="3">
        <v>0.93300000000000005</v>
      </c>
      <c r="Q5" s="3">
        <v>0.96799999999999997</v>
      </c>
      <c r="R5" s="2" t="s">
        <v>24</v>
      </c>
    </row>
    <row r="6" spans="1:18" x14ac:dyDescent="0.3">
      <c r="A6" s="1">
        <v>46031</v>
      </c>
      <c r="B6" s="2" t="s">
        <v>18</v>
      </c>
      <c r="C6" s="2" t="s">
        <v>35</v>
      </c>
      <c r="D6" s="2" t="s">
        <v>36</v>
      </c>
      <c r="E6" s="2" t="s">
        <v>37</v>
      </c>
      <c r="F6" s="2" t="s">
        <v>38</v>
      </c>
      <c r="G6" s="2">
        <v>20</v>
      </c>
      <c r="H6" s="2" t="s">
        <v>23</v>
      </c>
      <c r="I6" s="2">
        <v>19</v>
      </c>
      <c r="J6" s="2">
        <v>19</v>
      </c>
      <c r="K6" s="2">
        <v>0</v>
      </c>
      <c r="L6" s="2">
        <v>8</v>
      </c>
      <c r="M6" s="2">
        <v>7.7</v>
      </c>
      <c r="N6" s="2">
        <v>0</v>
      </c>
      <c r="O6" s="3">
        <v>0.96399999999999997</v>
      </c>
      <c r="P6" s="3">
        <v>0.89100000000000001</v>
      </c>
      <c r="Q6" s="3">
        <v>0.93500000000000005</v>
      </c>
      <c r="R6" s="2" t="s">
        <v>24</v>
      </c>
    </row>
    <row r="7" spans="1:18" x14ac:dyDescent="0.3">
      <c r="A7" s="1">
        <v>46033</v>
      </c>
      <c r="B7" s="2" t="s">
        <v>18</v>
      </c>
      <c r="C7" s="2" t="s">
        <v>39</v>
      </c>
      <c r="D7" s="2" t="s">
        <v>40</v>
      </c>
      <c r="E7" s="2" t="s">
        <v>37</v>
      </c>
      <c r="F7" s="2" t="s">
        <v>27</v>
      </c>
      <c r="G7" s="2">
        <v>21</v>
      </c>
      <c r="H7" s="2" t="s">
        <v>23</v>
      </c>
      <c r="I7" s="2">
        <v>9</v>
      </c>
      <c r="J7" s="2">
        <v>9</v>
      </c>
      <c r="K7" s="2">
        <v>10</v>
      </c>
      <c r="L7" s="2">
        <v>7</v>
      </c>
      <c r="M7" s="2">
        <v>6.7</v>
      </c>
      <c r="N7" s="2">
        <v>0</v>
      </c>
      <c r="O7" s="3">
        <v>0.97699999999999998</v>
      </c>
      <c r="P7" s="3">
        <v>0.93300000000000005</v>
      </c>
      <c r="Q7" s="3">
        <v>0.95899999999999996</v>
      </c>
      <c r="R7" s="2" t="s">
        <v>24</v>
      </c>
    </row>
    <row r="8" spans="1:18" x14ac:dyDescent="0.3">
      <c r="A8" s="1">
        <v>46035</v>
      </c>
      <c r="B8" s="2" t="s">
        <v>18</v>
      </c>
      <c r="C8" s="2" t="s">
        <v>41</v>
      </c>
      <c r="D8" s="2" t="s">
        <v>42</v>
      </c>
      <c r="E8" s="2" t="s">
        <v>43</v>
      </c>
      <c r="F8" s="2" t="s">
        <v>32</v>
      </c>
      <c r="G8" s="2">
        <v>21</v>
      </c>
      <c r="H8" s="2" t="s">
        <v>23</v>
      </c>
      <c r="I8" s="2">
        <v>19</v>
      </c>
      <c r="J8" s="2">
        <v>19</v>
      </c>
      <c r="K8" s="2">
        <v>0</v>
      </c>
      <c r="L8" s="2">
        <v>9</v>
      </c>
      <c r="M8" s="2">
        <v>10.7</v>
      </c>
      <c r="N8" s="2">
        <v>1.7</v>
      </c>
      <c r="O8" s="3">
        <v>0.94</v>
      </c>
      <c r="P8" s="3">
        <v>1</v>
      </c>
      <c r="Q8" s="3">
        <v>0.96399999999999997</v>
      </c>
      <c r="R8" s="2" t="s">
        <v>24</v>
      </c>
    </row>
    <row r="9" spans="1:18" x14ac:dyDescent="0.3">
      <c r="A9" s="1">
        <v>46037</v>
      </c>
      <c r="B9" s="2" t="s">
        <v>18</v>
      </c>
      <c r="C9" s="2" t="s">
        <v>44</v>
      </c>
      <c r="D9" s="2" t="s">
        <v>45</v>
      </c>
      <c r="E9" s="2" t="s">
        <v>43</v>
      </c>
      <c r="F9" s="2" t="s">
        <v>22</v>
      </c>
      <c r="G9" s="2">
        <v>20</v>
      </c>
      <c r="H9" s="2" t="s">
        <v>46</v>
      </c>
      <c r="I9" s="2">
        <v>12</v>
      </c>
      <c r="J9" s="2">
        <v>15</v>
      </c>
      <c r="K9" s="2">
        <v>0</v>
      </c>
      <c r="L9" s="2">
        <v>9</v>
      </c>
      <c r="M9" s="2">
        <v>9.8000000000000007</v>
      </c>
      <c r="N9" s="2">
        <v>0.8</v>
      </c>
      <c r="O9" s="3">
        <v>1</v>
      </c>
      <c r="P9" s="3">
        <v>1</v>
      </c>
      <c r="Q9" s="3">
        <v>1</v>
      </c>
      <c r="R9" s="2" t="s">
        <v>24</v>
      </c>
    </row>
    <row r="10" spans="1:18" x14ac:dyDescent="0.3">
      <c r="A10" s="1">
        <v>46039</v>
      </c>
      <c r="B10" s="2" t="s">
        <v>18</v>
      </c>
      <c r="C10" s="2" t="s">
        <v>47</v>
      </c>
      <c r="D10" s="2" t="s">
        <v>48</v>
      </c>
      <c r="E10" s="2" t="s">
        <v>49</v>
      </c>
      <c r="F10" s="2" t="s">
        <v>38</v>
      </c>
      <c r="G10" s="2">
        <v>22</v>
      </c>
      <c r="H10" s="2" t="s">
        <v>23</v>
      </c>
      <c r="I10" s="2">
        <v>19</v>
      </c>
      <c r="J10" s="2">
        <v>16</v>
      </c>
      <c r="K10" s="2">
        <v>30</v>
      </c>
      <c r="L10" s="2">
        <v>7</v>
      </c>
      <c r="M10" s="2">
        <v>6.5</v>
      </c>
      <c r="N10" s="2">
        <v>0</v>
      </c>
      <c r="O10" s="3">
        <v>0.86799999999999999</v>
      </c>
      <c r="P10" s="3">
        <v>0.91800000000000004</v>
      </c>
      <c r="Q10" s="3">
        <v>0.88800000000000001</v>
      </c>
      <c r="R10" s="2" t="s">
        <v>50</v>
      </c>
    </row>
    <row r="11" spans="1:18" x14ac:dyDescent="0.3">
      <c r="A11" s="1">
        <v>46041</v>
      </c>
      <c r="B11" s="2" t="s">
        <v>18</v>
      </c>
      <c r="C11" s="2" t="s">
        <v>51</v>
      </c>
      <c r="D11" s="2" t="s">
        <v>52</v>
      </c>
      <c r="E11" s="2" t="s">
        <v>49</v>
      </c>
      <c r="F11" s="2" t="s">
        <v>32</v>
      </c>
      <c r="G11" s="2">
        <v>20</v>
      </c>
      <c r="H11" s="2" t="s">
        <v>23</v>
      </c>
      <c r="I11" s="2">
        <v>9</v>
      </c>
      <c r="J11" s="2">
        <v>9</v>
      </c>
      <c r="K11" s="2">
        <v>40</v>
      </c>
      <c r="L11" s="2">
        <v>8</v>
      </c>
      <c r="M11" s="2">
        <v>8.6</v>
      </c>
      <c r="N11" s="2">
        <v>0.6</v>
      </c>
      <c r="O11" s="3">
        <v>0.99299999999999999</v>
      </c>
      <c r="P11" s="3">
        <v>1</v>
      </c>
      <c r="Q11" s="3">
        <v>0.996</v>
      </c>
      <c r="R11" s="2" t="s">
        <v>24</v>
      </c>
    </row>
    <row r="12" spans="1:18" x14ac:dyDescent="0.3">
      <c r="A12" s="1">
        <v>46045</v>
      </c>
      <c r="B12" s="2" t="s">
        <v>18</v>
      </c>
      <c r="C12" s="2" t="s">
        <v>53</v>
      </c>
      <c r="D12" s="2" t="s">
        <v>54</v>
      </c>
      <c r="E12" s="2" t="s">
        <v>55</v>
      </c>
      <c r="F12" s="2" t="s">
        <v>22</v>
      </c>
      <c r="G12" s="2">
        <v>22</v>
      </c>
      <c r="H12" s="2" t="s">
        <v>23</v>
      </c>
      <c r="I12" s="2">
        <v>17</v>
      </c>
      <c r="J12" s="2">
        <v>19</v>
      </c>
      <c r="K12" s="2">
        <v>0</v>
      </c>
      <c r="L12" s="2">
        <v>7</v>
      </c>
      <c r="M12" s="2">
        <v>6.5</v>
      </c>
      <c r="N12" s="2">
        <v>0</v>
      </c>
      <c r="O12" s="3">
        <v>1</v>
      </c>
      <c r="P12" s="3">
        <v>0.93400000000000005</v>
      </c>
      <c r="Q12" s="3">
        <v>0.97399999999999998</v>
      </c>
      <c r="R12" s="2" t="s">
        <v>24</v>
      </c>
    </row>
    <row r="13" spans="1:18" x14ac:dyDescent="0.3">
      <c r="A13" s="1">
        <v>46047</v>
      </c>
      <c r="B13" s="2" t="s">
        <v>18</v>
      </c>
      <c r="C13" s="2" t="s">
        <v>56</v>
      </c>
      <c r="D13" s="2" t="s">
        <v>57</v>
      </c>
      <c r="E13" s="2" t="s">
        <v>21</v>
      </c>
      <c r="F13" s="2" t="s">
        <v>38</v>
      </c>
      <c r="G13" s="2">
        <v>21</v>
      </c>
      <c r="H13" s="2" t="s">
        <v>23</v>
      </c>
      <c r="I13" s="2">
        <v>12</v>
      </c>
      <c r="J13" s="2">
        <v>14</v>
      </c>
      <c r="K13" s="2">
        <v>50</v>
      </c>
      <c r="L13" s="2">
        <v>9</v>
      </c>
      <c r="M13" s="2">
        <v>9.3000000000000007</v>
      </c>
      <c r="N13" s="2">
        <v>0.3</v>
      </c>
      <c r="O13" s="3">
        <v>1</v>
      </c>
      <c r="P13" s="3">
        <v>1</v>
      </c>
      <c r="Q13" s="3">
        <v>1</v>
      </c>
      <c r="R13" s="2" t="s">
        <v>24</v>
      </c>
    </row>
    <row r="14" spans="1:18" x14ac:dyDescent="0.3">
      <c r="A14" s="1">
        <v>46049</v>
      </c>
      <c r="B14" s="2" t="s">
        <v>18</v>
      </c>
      <c r="C14" s="2" t="s">
        <v>58</v>
      </c>
      <c r="D14" s="2" t="s">
        <v>59</v>
      </c>
      <c r="E14" s="2" t="s">
        <v>31</v>
      </c>
      <c r="F14" s="2" t="s">
        <v>27</v>
      </c>
      <c r="G14" s="2">
        <v>20</v>
      </c>
      <c r="H14" s="2" t="s">
        <v>23</v>
      </c>
      <c r="I14" s="2">
        <v>8</v>
      </c>
      <c r="J14" s="2">
        <v>11</v>
      </c>
      <c r="K14" s="2">
        <v>0</v>
      </c>
      <c r="L14" s="2">
        <v>8</v>
      </c>
      <c r="M14" s="2">
        <v>5.9</v>
      </c>
      <c r="N14" s="2">
        <v>0</v>
      </c>
      <c r="O14" s="3">
        <v>1</v>
      </c>
      <c r="P14" s="3">
        <v>0.89500000000000002</v>
      </c>
      <c r="Q14" s="3">
        <v>0.95799999999999996</v>
      </c>
      <c r="R14" s="2" t="s">
        <v>24</v>
      </c>
    </row>
    <row r="15" spans="1:18" x14ac:dyDescent="0.3">
      <c r="A15" s="1">
        <v>46051</v>
      </c>
      <c r="B15" s="2" t="s">
        <v>18</v>
      </c>
      <c r="C15" s="2" t="s">
        <v>60</v>
      </c>
      <c r="D15" s="2" t="s">
        <v>61</v>
      </c>
      <c r="E15" s="2" t="s">
        <v>37</v>
      </c>
      <c r="F15" s="2" t="s">
        <v>32</v>
      </c>
      <c r="G15" s="2">
        <v>22</v>
      </c>
      <c r="H15" s="2" t="s">
        <v>28</v>
      </c>
      <c r="I15" s="2">
        <v>13</v>
      </c>
      <c r="J15" s="2">
        <v>11</v>
      </c>
      <c r="K15" s="2">
        <v>2</v>
      </c>
      <c r="L15" s="2">
        <v>9</v>
      </c>
      <c r="M15" s="2">
        <v>7.1</v>
      </c>
      <c r="N15" s="2">
        <v>0</v>
      </c>
      <c r="O15" s="3">
        <v>0.84599999999999997</v>
      </c>
      <c r="P15" s="3">
        <v>0.92100000000000004</v>
      </c>
      <c r="Q15" s="3">
        <v>0.876</v>
      </c>
      <c r="R15" s="2" t="s">
        <v>50</v>
      </c>
    </row>
    <row r="16" spans="1:18" x14ac:dyDescent="0.3">
      <c r="A16" s="1">
        <v>46053</v>
      </c>
      <c r="B16" s="2" t="s">
        <v>18</v>
      </c>
      <c r="C16" s="2" t="s">
        <v>62</v>
      </c>
      <c r="D16" s="2" t="s">
        <v>63</v>
      </c>
      <c r="E16" s="2" t="s">
        <v>43</v>
      </c>
      <c r="F16" s="2" t="s">
        <v>38</v>
      </c>
      <c r="G16" s="2">
        <v>22</v>
      </c>
      <c r="H16" s="2" t="s">
        <v>23</v>
      </c>
      <c r="I16" s="2">
        <v>10</v>
      </c>
      <c r="J16" s="2">
        <v>9</v>
      </c>
      <c r="K16" s="2">
        <v>1</v>
      </c>
      <c r="L16" s="2">
        <v>7</v>
      </c>
      <c r="M16" s="2">
        <v>6.4</v>
      </c>
      <c r="N16" s="2">
        <v>0</v>
      </c>
      <c r="O16" s="3">
        <v>0.85899999999999999</v>
      </c>
      <c r="P16" s="3">
        <v>0.86299999999999999</v>
      </c>
      <c r="Q16" s="3">
        <v>0.86099999999999999</v>
      </c>
      <c r="R16" s="2" t="s">
        <v>50</v>
      </c>
    </row>
    <row r="17" spans="1:18" x14ac:dyDescent="0.3">
      <c r="A17" s="1">
        <v>46055</v>
      </c>
      <c r="B17" s="2" t="s">
        <v>64</v>
      </c>
      <c r="C17" s="2" t="s">
        <v>65</v>
      </c>
      <c r="D17" s="2" t="s">
        <v>66</v>
      </c>
      <c r="E17" s="2" t="s">
        <v>49</v>
      </c>
      <c r="F17" s="2" t="s">
        <v>22</v>
      </c>
      <c r="G17" s="2">
        <v>21</v>
      </c>
      <c r="H17" s="2" t="s">
        <v>28</v>
      </c>
      <c r="I17" s="2">
        <v>17</v>
      </c>
      <c r="J17" s="2">
        <v>17</v>
      </c>
      <c r="K17" s="2">
        <v>0</v>
      </c>
      <c r="L17" s="2">
        <v>9</v>
      </c>
      <c r="M17" s="2">
        <v>7.9</v>
      </c>
      <c r="N17" s="2">
        <v>0</v>
      </c>
      <c r="O17" s="3">
        <v>0.98399999999999999</v>
      </c>
      <c r="P17" s="3">
        <v>0.91200000000000003</v>
      </c>
      <c r="Q17" s="3">
        <v>0.95499999999999996</v>
      </c>
      <c r="R17" s="2" t="s">
        <v>24</v>
      </c>
    </row>
    <row r="18" spans="1:18" x14ac:dyDescent="0.3">
      <c r="A18" s="1">
        <v>46057</v>
      </c>
      <c r="B18" s="2" t="s">
        <v>64</v>
      </c>
      <c r="C18" s="2" t="s">
        <v>67</v>
      </c>
      <c r="D18" s="2" t="s">
        <v>68</v>
      </c>
      <c r="E18" s="2" t="s">
        <v>55</v>
      </c>
      <c r="F18" s="2" t="s">
        <v>32</v>
      </c>
      <c r="G18" s="2">
        <v>20</v>
      </c>
      <c r="H18" s="2" t="s">
        <v>46</v>
      </c>
      <c r="I18" s="2">
        <v>15</v>
      </c>
      <c r="J18" s="2">
        <v>12</v>
      </c>
      <c r="K18" s="2">
        <v>3</v>
      </c>
      <c r="L18" s="2">
        <v>7</v>
      </c>
      <c r="M18" s="2">
        <v>7.3</v>
      </c>
      <c r="N18" s="2">
        <v>0.3</v>
      </c>
      <c r="O18" s="3">
        <v>0.85799999999999998</v>
      </c>
      <c r="P18" s="3">
        <v>0.77200000000000002</v>
      </c>
      <c r="Q18" s="3">
        <v>0.82399999999999995</v>
      </c>
      <c r="R18" s="2" t="s">
        <v>50</v>
      </c>
    </row>
    <row r="19" spans="1:18" x14ac:dyDescent="0.3">
      <c r="A19" s="1">
        <v>46061</v>
      </c>
      <c r="B19" s="2" t="s">
        <v>64</v>
      </c>
      <c r="C19" s="2" t="s">
        <v>69</v>
      </c>
      <c r="D19" s="2" t="s">
        <v>70</v>
      </c>
      <c r="E19" s="2" t="s">
        <v>31</v>
      </c>
      <c r="F19" s="2" t="s">
        <v>38</v>
      </c>
      <c r="G19" s="2">
        <v>21</v>
      </c>
      <c r="H19" s="2" t="s">
        <v>46</v>
      </c>
      <c r="I19" s="2">
        <v>12</v>
      </c>
      <c r="J19" s="2">
        <v>13</v>
      </c>
      <c r="K19" s="2">
        <v>70</v>
      </c>
      <c r="L19" s="2">
        <v>7</v>
      </c>
      <c r="M19" s="2">
        <v>5.4</v>
      </c>
      <c r="N19" s="2">
        <v>0</v>
      </c>
      <c r="O19" s="3">
        <v>1</v>
      </c>
      <c r="P19" s="3">
        <v>0.90500000000000003</v>
      </c>
      <c r="Q19" s="3">
        <v>0.96199999999999997</v>
      </c>
      <c r="R19" s="2" t="s">
        <v>24</v>
      </c>
    </row>
    <row r="20" spans="1:18" x14ac:dyDescent="0.3">
      <c r="A20" s="1">
        <v>46063</v>
      </c>
      <c r="B20" s="2" t="s">
        <v>64</v>
      </c>
      <c r="C20" s="2" t="s">
        <v>19</v>
      </c>
      <c r="D20" s="2" t="s">
        <v>20</v>
      </c>
      <c r="E20" s="2" t="s">
        <v>21</v>
      </c>
      <c r="F20" s="2" t="s">
        <v>22</v>
      </c>
      <c r="G20" s="2">
        <v>22</v>
      </c>
      <c r="H20" s="2" t="s">
        <v>23</v>
      </c>
      <c r="I20" s="2">
        <v>20</v>
      </c>
      <c r="J20" s="2">
        <v>22</v>
      </c>
      <c r="K20" s="2">
        <v>0</v>
      </c>
      <c r="L20" s="2">
        <v>8</v>
      </c>
      <c r="M20" s="2">
        <v>9.6</v>
      </c>
      <c r="N20" s="2">
        <v>1.6</v>
      </c>
      <c r="O20" s="3">
        <v>1</v>
      </c>
      <c r="P20" s="3">
        <v>0.97599999999999998</v>
      </c>
      <c r="Q20" s="3">
        <v>0.99</v>
      </c>
      <c r="R20" s="2" t="s">
        <v>24</v>
      </c>
    </row>
    <row r="21" spans="1:18" x14ac:dyDescent="0.3">
      <c r="A21" s="1">
        <v>46065</v>
      </c>
      <c r="B21" s="2" t="s">
        <v>64</v>
      </c>
      <c r="C21" s="2" t="s">
        <v>25</v>
      </c>
      <c r="D21" s="2" t="s">
        <v>26</v>
      </c>
      <c r="E21" s="2" t="s">
        <v>21</v>
      </c>
      <c r="F21" s="2" t="s">
        <v>27</v>
      </c>
      <c r="G21" s="2">
        <v>21</v>
      </c>
      <c r="H21" s="2" t="s">
        <v>23</v>
      </c>
      <c r="I21" s="2">
        <v>19</v>
      </c>
      <c r="J21" s="2">
        <v>21</v>
      </c>
      <c r="K21" s="2">
        <v>0</v>
      </c>
      <c r="L21" s="2">
        <v>8</v>
      </c>
      <c r="M21" s="2">
        <v>7.8</v>
      </c>
      <c r="N21" s="2">
        <v>0</v>
      </c>
      <c r="O21" s="3">
        <v>1</v>
      </c>
      <c r="P21" s="3">
        <v>1</v>
      </c>
      <c r="Q21" s="3">
        <v>1</v>
      </c>
      <c r="R21" s="2" t="s">
        <v>24</v>
      </c>
    </row>
    <row r="22" spans="1:18" x14ac:dyDescent="0.3">
      <c r="A22" s="1">
        <v>46067</v>
      </c>
      <c r="B22" s="2" t="s">
        <v>64</v>
      </c>
      <c r="C22" s="2" t="s">
        <v>29</v>
      </c>
      <c r="D22" s="2" t="s">
        <v>30</v>
      </c>
      <c r="E22" s="2" t="s">
        <v>31</v>
      </c>
      <c r="F22" s="2" t="s">
        <v>32</v>
      </c>
      <c r="G22" s="2">
        <v>22</v>
      </c>
      <c r="H22" s="2" t="s">
        <v>23</v>
      </c>
      <c r="I22" s="2">
        <v>18</v>
      </c>
      <c r="J22" s="2">
        <v>17</v>
      </c>
      <c r="K22" s="2">
        <v>1</v>
      </c>
      <c r="L22" s="2">
        <v>9</v>
      </c>
      <c r="M22" s="2">
        <v>9.1</v>
      </c>
      <c r="N22" s="2">
        <v>0.1</v>
      </c>
      <c r="O22" s="3">
        <v>0.94599999999999995</v>
      </c>
      <c r="P22" s="3">
        <v>0.87</v>
      </c>
      <c r="Q22" s="3">
        <v>0.91600000000000004</v>
      </c>
      <c r="R22" s="2" t="s">
        <v>24</v>
      </c>
    </row>
    <row r="23" spans="1:18" x14ac:dyDescent="0.3">
      <c r="A23" s="1">
        <v>46069</v>
      </c>
      <c r="B23" s="2" t="s">
        <v>64</v>
      </c>
      <c r="C23" s="2" t="s">
        <v>33</v>
      </c>
      <c r="D23" s="2" t="s">
        <v>34</v>
      </c>
      <c r="E23" s="2" t="s">
        <v>31</v>
      </c>
      <c r="F23" s="2" t="s">
        <v>22</v>
      </c>
      <c r="G23" s="2">
        <v>21</v>
      </c>
      <c r="H23" s="2" t="s">
        <v>23</v>
      </c>
      <c r="I23" s="2">
        <v>16</v>
      </c>
      <c r="J23" s="2">
        <v>19</v>
      </c>
      <c r="K23" s="2">
        <v>0</v>
      </c>
      <c r="L23" s="2">
        <v>9</v>
      </c>
      <c r="M23" s="2">
        <v>7.4</v>
      </c>
      <c r="N23" s="2">
        <v>0</v>
      </c>
      <c r="O23" s="3">
        <v>1</v>
      </c>
      <c r="P23" s="3">
        <v>1</v>
      </c>
      <c r="Q23" s="3">
        <v>1</v>
      </c>
      <c r="R23" s="2" t="s">
        <v>24</v>
      </c>
    </row>
    <row r="24" spans="1:18" x14ac:dyDescent="0.3">
      <c r="A24" s="1">
        <v>46071</v>
      </c>
      <c r="B24" s="2" t="s">
        <v>64</v>
      </c>
      <c r="C24" s="2" t="s">
        <v>35</v>
      </c>
      <c r="D24" s="2" t="s">
        <v>36</v>
      </c>
      <c r="E24" s="2" t="s">
        <v>37</v>
      </c>
      <c r="F24" s="2" t="s">
        <v>38</v>
      </c>
      <c r="G24" s="2">
        <v>21</v>
      </c>
      <c r="H24" s="2" t="s">
        <v>23</v>
      </c>
      <c r="I24" s="2">
        <v>9</v>
      </c>
      <c r="J24" s="2">
        <v>8</v>
      </c>
      <c r="K24" s="2">
        <v>1</v>
      </c>
      <c r="L24" s="2">
        <v>8</v>
      </c>
      <c r="M24" s="2">
        <v>7.4</v>
      </c>
      <c r="N24" s="2">
        <v>0</v>
      </c>
      <c r="O24" s="3">
        <v>0.84699999999999998</v>
      </c>
      <c r="P24" s="3">
        <v>0.78</v>
      </c>
      <c r="Q24" s="3">
        <v>0.82</v>
      </c>
      <c r="R24" s="2" t="s">
        <v>50</v>
      </c>
    </row>
    <row r="25" spans="1:18" x14ac:dyDescent="0.3">
      <c r="A25" s="1">
        <v>46073</v>
      </c>
      <c r="B25" s="2" t="s">
        <v>64</v>
      </c>
      <c r="C25" s="2" t="s">
        <v>39</v>
      </c>
      <c r="D25" s="2" t="s">
        <v>40</v>
      </c>
      <c r="E25" s="2" t="s">
        <v>37</v>
      </c>
      <c r="F25" s="2" t="s">
        <v>27</v>
      </c>
      <c r="G25" s="2">
        <v>22</v>
      </c>
      <c r="H25" s="2" t="s">
        <v>23</v>
      </c>
      <c r="I25" s="2">
        <v>9</v>
      </c>
      <c r="J25" s="2">
        <v>11</v>
      </c>
      <c r="K25" s="2">
        <v>0</v>
      </c>
      <c r="L25" s="2">
        <v>8</v>
      </c>
      <c r="M25" s="2">
        <v>8.1</v>
      </c>
      <c r="N25" s="2">
        <v>0.1</v>
      </c>
      <c r="O25" s="3">
        <v>1</v>
      </c>
      <c r="P25" s="3">
        <v>1</v>
      </c>
      <c r="Q25" s="3">
        <v>1</v>
      </c>
      <c r="R25" s="2" t="s">
        <v>24</v>
      </c>
    </row>
    <row r="26" spans="1:18" x14ac:dyDescent="0.3">
      <c r="A26" s="1">
        <v>46075</v>
      </c>
      <c r="B26" s="2" t="s">
        <v>64</v>
      </c>
      <c r="C26" s="2" t="s">
        <v>41</v>
      </c>
      <c r="D26" s="2" t="s">
        <v>42</v>
      </c>
      <c r="E26" s="2" t="s">
        <v>43</v>
      </c>
      <c r="F26" s="2" t="s">
        <v>32</v>
      </c>
      <c r="G26" s="2">
        <v>22</v>
      </c>
      <c r="H26" s="2" t="s">
        <v>23</v>
      </c>
      <c r="I26" s="2">
        <v>10</v>
      </c>
      <c r="J26" s="2">
        <v>12</v>
      </c>
      <c r="K26" s="2">
        <v>0</v>
      </c>
      <c r="L26" s="2">
        <v>8</v>
      </c>
      <c r="M26" s="2">
        <v>6.7</v>
      </c>
      <c r="N26" s="2">
        <v>0</v>
      </c>
      <c r="O26" s="3">
        <v>1</v>
      </c>
      <c r="P26" s="3">
        <v>0.91600000000000004</v>
      </c>
      <c r="Q26" s="3">
        <v>0.96599999999999997</v>
      </c>
      <c r="R26" s="2" t="s">
        <v>24</v>
      </c>
    </row>
    <row r="27" spans="1:18" x14ac:dyDescent="0.3">
      <c r="A27" s="1">
        <v>46077</v>
      </c>
      <c r="B27" s="2" t="s">
        <v>64</v>
      </c>
      <c r="C27" s="2" t="s">
        <v>44</v>
      </c>
      <c r="D27" s="2" t="s">
        <v>45</v>
      </c>
      <c r="E27" s="2" t="s">
        <v>43</v>
      </c>
      <c r="F27" s="2" t="s">
        <v>22</v>
      </c>
      <c r="G27" s="2">
        <v>22</v>
      </c>
      <c r="H27" s="2" t="s">
        <v>46</v>
      </c>
      <c r="I27" s="2">
        <v>14</v>
      </c>
      <c r="J27" s="2">
        <v>12</v>
      </c>
      <c r="K27" s="2">
        <v>2</v>
      </c>
      <c r="L27" s="2">
        <v>9</v>
      </c>
      <c r="M27" s="2">
        <v>9.4</v>
      </c>
      <c r="N27" s="2">
        <v>0.4</v>
      </c>
      <c r="O27" s="3">
        <v>0.89800000000000002</v>
      </c>
      <c r="P27" s="3">
        <v>0.93</v>
      </c>
      <c r="Q27" s="3">
        <v>0.91100000000000003</v>
      </c>
      <c r="R27" s="2" t="s">
        <v>24</v>
      </c>
    </row>
    <row r="28" spans="1:18" x14ac:dyDescent="0.3">
      <c r="A28" s="1">
        <v>46081</v>
      </c>
      <c r="B28" s="2" t="s">
        <v>64</v>
      </c>
      <c r="C28" s="2" t="s">
        <v>51</v>
      </c>
      <c r="D28" s="2" t="s">
        <v>52</v>
      </c>
      <c r="E28" s="2" t="s">
        <v>49</v>
      </c>
      <c r="F28" s="2" t="s">
        <v>32</v>
      </c>
      <c r="G28" s="2">
        <v>21</v>
      </c>
      <c r="H28" s="2" t="s">
        <v>23</v>
      </c>
      <c r="I28" s="2">
        <v>11</v>
      </c>
      <c r="J28" s="2">
        <v>9</v>
      </c>
      <c r="K28" s="2">
        <v>2</v>
      </c>
      <c r="L28" s="2">
        <v>7</v>
      </c>
      <c r="M28" s="2">
        <v>6.7</v>
      </c>
      <c r="N28" s="2">
        <v>0</v>
      </c>
      <c r="O28" s="3">
        <v>0.79200000000000004</v>
      </c>
      <c r="P28" s="3">
        <v>0.80100000000000005</v>
      </c>
      <c r="Q28" s="3">
        <v>0.79600000000000004</v>
      </c>
      <c r="R28" s="2" t="s">
        <v>50</v>
      </c>
    </row>
    <row r="29" spans="1:18" x14ac:dyDescent="0.3">
      <c r="A29" s="1">
        <v>46083</v>
      </c>
      <c r="B29" s="2" t="s">
        <v>71</v>
      </c>
      <c r="C29" s="2" t="s">
        <v>72</v>
      </c>
      <c r="D29" s="2" t="s">
        <v>73</v>
      </c>
      <c r="E29" s="2" t="s">
        <v>55</v>
      </c>
      <c r="F29" s="2" t="s">
        <v>27</v>
      </c>
      <c r="G29" s="2">
        <v>20</v>
      </c>
      <c r="H29" s="2" t="s">
        <v>46</v>
      </c>
      <c r="I29" s="2">
        <v>11</v>
      </c>
      <c r="J29" s="2">
        <v>8</v>
      </c>
      <c r="K29" s="2">
        <v>3</v>
      </c>
      <c r="L29" s="2">
        <v>7</v>
      </c>
      <c r="M29" s="2">
        <v>6.3</v>
      </c>
      <c r="N29" s="2">
        <v>0</v>
      </c>
      <c r="O29" s="3">
        <v>0.76100000000000001</v>
      </c>
      <c r="P29" s="3">
        <v>0.65400000000000003</v>
      </c>
      <c r="Q29" s="3">
        <v>0.71799999999999997</v>
      </c>
      <c r="R29" s="2" t="s">
        <v>74</v>
      </c>
    </row>
    <row r="30" spans="1:18" x14ac:dyDescent="0.3">
      <c r="A30" s="1">
        <v>46085</v>
      </c>
      <c r="B30" s="2" t="s">
        <v>71</v>
      </c>
      <c r="C30" s="2" t="s">
        <v>53</v>
      </c>
      <c r="D30" s="2" t="s">
        <v>54</v>
      </c>
      <c r="E30" s="2" t="s">
        <v>55</v>
      </c>
      <c r="F30" s="2" t="s">
        <v>22</v>
      </c>
      <c r="G30" s="2">
        <v>20</v>
      </c>
      <c r="H30" s="2" t="s">
        <v>23</v>
      </c>
      <c r="I30" s="2">
        <v>13</v>
      </c>
      <c r="J30" s="2">
        <v>10</v>
      </c>
      <c r="K30" s="2">
        <v>3</v>
      </c>
      <c r="L30" s="2">
        <v>9</v>
      </c>
      <c r="M30" s="2">
        <v>11</v>
      </c>
      <c r="N30" s="2">
        <v>2</v>
      </c>
      <c r="O30" s="3">
        <v>0.72699999999999998</v>
      </c>
      <c r="P30" s="3">
        <v>0.754</v>
      </c>
      <c r="Q30" s="3">
        <v>0.73799999999999999</v>
      </c>
      <c r="R30" s="2" t="s">
        <v>74</v>
      </c>
    </row>
    <row r="31" spans="1:18" x14ac:dyDescent="0.3">
      <c r="A31" s="1">
        <v>46087</v>
      </c>
      <c r="B31" s="2" t="s">
        <v>71</v>
      </c>
      <c r="C31" s="2" t="s">
        <v>56</v>
      </c>
      <c r="D31" s="2" t="s">
        <v>57</v>
      </c>
      <c r="E31" s="2" t="s">
        <v>21</v>
      </c>
      <c r="F31" s="2" t="s">
        <v>38</v>
      </c>
      <c r="G31" s="2">
        <v>20</v>
      </c>
      <c r="H31" s="2" t="s">
        <v>46</v>
      </c>
      <c r="I31" s="2">
        <v>10</v>
      </c>
      <c r="J31" s="2">
        <v>12</v>
      </c>
      <c r="K31" s="2">
        <v>0</v>
      </c>
      <c r="L31" s="2">
        <v>9</v>
      </c>
      <c r="M31" s="2">
        <v>9</v>
      </c>
      <c r="N31" s="2">
        <v>0</v>
      </c>
      <c r="O31" s="3">
        <v>1</v>
      </c>
      <c r="P31" s="3">
        <v>0.93300000000000005</v>
      </c>
      <c r="Q31" s="3">
        <v>0.97299999999999998</v>
      </c>
      <c r="R31" s="2" t="s">
        <v>24</v>
      </c>
    </row>
    <row r="32" spans="1:18" x14ac:dyDescent="0.3">
      <c r="A32" s="1">
        <v>46089</v>
      </c>
      <c r="B32" s="2" t="s">
        <v>71</v>
      </c>
      <c r="C32" s="2" t="s">
        <v>58</v>
      </c>
      <c r="D32" s="2" t="s">
        <v>59</v>
      </c>
      <c r="E32" s="2" t="s">
        <v>31</v>
      </c>
      <c r="F32" s="2" t="s">
        <v>27</v>
      </c>
      <c r="G32" s="2">
        <v>21</v>
      </c>
      <c r="H32" s="2" t="s">
        <v>23</v>
      </c>
      <c r="I32" s="2">
        <v>11</v>
      </c>
      <c r="J32" s="2">
        <v>8</v>
      </c>
      <c r="K32" s="2">
        <v>50</v>
      </c>
      <c r="L32" s="2">
        <v>7</v>
      </c>
      <c r="M32" s="2">
        <v>5.8</v>
      </c>
      <c r="N32" s="2">
        <v>0</v>
      </c>
      <c r="O32" s="3">
        <v>0.753</v>
      </c>
      <c r="P32" s="3">
        <v>0.71099999999999997</v>
      </c>
      <c r="Q32" s="3">
        <v>0.73599999999999999</v>
      </c>
      <c r="R32" s="2" t="s">
        <v>74</v>
      </c>
    </row>
    <row r="33" spans="1:18" x14ac:dyDescent="0.3">
      <c r="A33" s="1">
        <v>46091</v>
      </c>
      <c r="B33" s="2" t="s">
        <v>71</v>
      </c>
      <c r="C33" s="2" t="s">
        <v>60</v>
      </c>
      <c r="D33" s="2" t="s">
        <v>61</v>
      </c>
      <c r="E33" s="2" t="s">
        <v>37</v>
      </c>
      <c r="F33" s="2" t="s">
        <v>32</v>
      </c>
      <c r="G33" s="2">
        <v>21</v>
      </c>
      <c r="H33" s="2" t="s">
        <v>23</v>
      </c>
      <c r="I33" s="2">
        <v>19</v>
      </c>
      <c r="J33" s="2">
        <v>16</v>
      </c>
      <c r="K33" s="2">
        <v>3</v>
      </c>
      <c r="L33" s="2">
        <v>9</v>
      </c>
      <c r="M33" s="2">
        <v>9.9</v>
      </c>
      <c r="N33" s="2">
        <v>0.9</v>
      </c>
      <c r="O33" s="3">
        <v>0.86699999999999999</v>
      </c>
      <c r="P33" s="3">
        <v>0.88900000000000001</v>
      </c>
      <c r="Q33" s="3">
        <v>0.876</v>
      </c>
      <c r="R33" s="2" t="s">
        <v>50</v>
      </c>
    </row>
    <row r="34" spans="1:18" x14ac:dyDescent="0.3">
      <c r="A34" s="1">
        <v>46093</v>
      </c>
      <c r="B34" s="2" t="s">
        <v>71</v>
      </c>
      <c r="C34" s="2" t="s">
        <v>62</v>
      </c>
      <c r="D34" s="2" t="s">
        <v>63</v>
      </c>
      <c r="E34" s="2" t="s">
        <v>43</v>
      </c>
      <c r="F34" s="2" t="s">
        <v>38</v>
      </c>
      <c r="G34" s="2">
        <v>20</v>
      </c>
      <c r="H34" s="2" t="s">
        <v>23</v>
      </c>
      <c r="I34" s="2">
        <v>19</v>
      </c>
      <c r="J34" s="2">
        <v>18</v>
      </c>
      <c r="K34" s="2">
        <v>1</v>
      </c>
      <c r="L34" s="2">
        <v>7</v>
      </c>
      <c r="M34" s="2">
        <v>5.7</v>
      </c>
      <c r="N34" s="2">
        <v>0</v>
      </c>
      <c r="O34" s="3">
        <v>0.90700000000000003</v>
      </c>
      <c r="P34" s="3">
        <v>0.82899999999999996</v>
      </c>
      <c r="Q34" s="3">
        <v>0.876</v>
      </c>
      <c r="R34" s="2" t="s">
        <v>50</v>
      </c>
    </row>
    <row r="35" spans="1:18" x14ac:dyDescent="0.3">
      <c r="A35" s="1">
        <v>46095</v>
      </c>
      <c r="B35" s="2" t="s">
        <v>71</v>
      </c>
      <c r="C35" s="2" t="s">
        <v>65</v>
      </c>
      <c r="D35" s="2" t="s">
        <v>66</v>
      </c>
      <c r="E35" s="2" t="s">
        <v>49</v>
      </c>
      <c r="F35" s="2" t="s">
        <v>22</v>
      </c>
      <c r="G35" s="2">
        <v>21</v>
      </c>
      <c r="H35" s="2" t="s">
        <v>23</v>
      </c>
      <c r="I35" s="2">
        <v>14</v>
      </c>
      <c r="J35" s="2">
        <v>12</v>
      </c>
      <c r="K35" s="2">
        <v>2</v>
      </c>
      <c r="L35" s="2">
        <v>8</v>
      </c>
      <c r="M35" s="2">
        <v>8.1999999999999993</v>
      </c>
      <c r="N35" s="2">
        <v>0.2</v>
      </c>
      <c r="O35" s="3">
        <v>0.85099999999999998</v>
      </c>
      <c r="P35" s="3">
        <v>0.92300000000000004</v>
      </c>
      <c r="Q35" s="3">
        <v>0.88</v>
      </c>
      <c r="R35" s="2" t="s">
        <v>50</v>
      </c>
    </row>
    <row r="36" spans="1:18" x14ac:dyDescent="0.3">
      <c r="A36" s="1">
        <v>46097</v>
      </c>
      <c r="B36" s="2" t="s">
        <v>71</v>
      </c>
      <c r="C36" s="2" t="s">
        <v>67</v>
      </c>
      <c r="D36" s="2" t="s">
        <v>68</v>
      </c>
      <c r="E36" s="2" t="s">
        <v>55</v>
      </c>
      <c r="F36" s="2" t="s">
        <v>32</v>
      </c>
      <c r="G36" s="2">
        <v>20</v>
      </c>
      <c r="H36" s="2" t="s">
        <v>23</v>
      </c>
      <c r="I36" s="2">
        <v>20</v>
      </c>
      <c r="J36" s="2">
        <v>23</v>
      </c>
      <c r="K36" s="2">
        <v>0</v>
      </c>
      <c r="L36" s="2">
        <v>9</v>
      </c>
      <c r="M36" s="2">
        <v>6.8</v>
      </c>
      <c r="N36" s="2">
        <v>0</v>
      </c>
      <c r="O36" s="3">
        <v>1</v>
      </c>
      <c r="P36" s="3">
        <v>1</v>
      </c>
      <c r="Q36" s="3">
        <v>1</v>
      </c>
      <c r="R36" s="2" t="s">
        <v>24</v>
      </c>
    </row>
    <row r="37" spans="1:18" x14ac:dyDescent="0.3">
      <c r="A37" s="1">
        <v>46101</v>
      </c>
      <c r="B37" s="2" t="s">
        <v>71</v>
      </c>
      <c r="C37" s="2" t="s">
        <v>69</v>
      </c>
      <c r="D37" s="2" t="s">
        <v>70</v>
      </c>
      <c r="E37" s="2" t="s">
        <v>31</v>
      </c>
      <c r="F37" s="2" t="s">
        <v>38</v>
      </c>
      <c r="G37" s="2">
        <v>20</v>
      </c>
      <c r="H37" s="2" t="s">
        <v>23</v>
      </c>
      <c r="I37" s="2">
        <v>8</v>
      </c>
      <c r="J37" s="2">
        <v>6</v>
      </c>
      <c r="K37" s="2">
        <v>2</v>
      </c>
      <c r="L37" s="2">
        <v>8</v>
      </c>
      <c r="M37" s="2">
        <v>8.1999999999999993</v>
      </c>
      <c r="N37" s="2">
        <v>0.2</v>
      </c>
      <c r="O37" s="3">
        <v>0.67</v>
      </c>
      <c r="P37" s="3">
        <v>0.63600000000000001</v>
      </c>
      <c r="Q37" s="3">
        <v>0.65600000000000003</v>
      </c>
      <c r="R37" s="2" t="s">
        <v>74</v>
      </c>
    </row>
    <row r="38" spans="1:18" x14ac:dyDescent="0.3">
      <c r="A38" s="1">
        <v>46103</v>
      </c>
      <c r="B38" s="2" t="s">
        <v>71</v>
      </c>
      <c r="C38" s="2" t="s">
        <v>19</v>
      </c>
      <c r="D38" s="2" t="s">
        <v>20</v>
      </c>
      <c r="E38" s="2" t="s">
        <v>21</v>
      </c>
      <c r="F38" s="2" t="s">
        <v>22</v>
      </c>
      <c r="G38" s="2">
        <v>21</v>
      </c>
      <c r="H38" s="2" t="s">
        <v>23</v>
      </c>
      <c r="I38" s="2">
        <v>14</v>
      </c>
      <c r="J38" s="2">
        <v>16</v>
      </c>
      <c r="K38" s="2">
        <v>0</v>
      </c>
      <c r="L38" s="2">
        <v>9</v>
      </c>
      <c r="M38" s="2">
        <v>9.8000000000000007</v>
      </c>
      <c r="N38" s="2">
        <v>0.8</v>
      </c>
      <c r="O38" s="3">
        <v>1</v>
      </c>
      <c r="P38" s="3">
        <v>1</v>
      </c>
      <c r="Q38" s="3">
        <v>1</v>
      </c>
      <c r="R38" s="2" t="s">
        <v>24</v>
      </c>
    </row>
    <row r="39" spans="1:18" x14ac:dyDescent="0.3">
      <c r="A39" s="1">
        <v>46105</v>
      </c>
      <c r="B39" s="2" t="s">
        <v>71</v>
      </c>
      <c r="C39" s="2" t="s">
        <v>25</v>
      </c>
      <c r="D39" s="2" t="s">
        <v>26</v>
      </c>
      <c r="E39" s="2" t="s">
        <v>21</v>
      </c>
      <c r="F39" s="2" t="s">
        <v>27</v>
      </c>
      <c r="G39" s="2">
        <v>22</v>
      </c>
      <c r="H39" s="2" t="s">
        <v>23</v>
      </c>
      <c r="I39" s="2">
        <v>10</v>
      </c>
      <c r="J39" s="2">
        <v>8</v>
      </c>
      <c r="K39" s="2">
        <v>2</v>
      </c>
      <c r="L39" s="2">
        <v>8</v>
      </c>
      <c r="M39" s="2">
        <v>8.1999999999999993</v>
      </c>
      <c r="N39" s="2">
        <v>0.2</v>
      </c>
      <c r="O39" s="3">
        <v>0.755</v>
      </c>
      <c r="P39" s="3">
        <v>0.64800000000000002</v>
      </c>
      <c r="Q39" s="3">
        <v>0.71199999999999997</v>
      </c>
      <c r="R39" s="2" t="s">
        <v>74</v>
      </c>
    </row>
    <row r="40" spans="1:18" x14ac:dyDescent="0.3">
      <c r="A40" s="1">
        <v>46107</v>
      </c>
      <c r="B40" s="2" t="s">
        <v>71</v>
      </c>
      <c r="C40" s="2" t="s">
        <v>29</v>
      </c>
      <c r="D40" s="2" t="s">
        <v>30</v>
      </c>
      <c r="E40" s="2" t="s">
        <v>31</v>
      </c>
      <c r="F40" s="2" t="s">
        <v>32</v>
      </c>
      <c r="G40" s="2">
        <v>22</v>
      </c>
      <c r="H40" s="2" t="s">
        <v>46</v>
      </c>
      <c r="I40" s="2">
        <v>8</v>
      </c>
      <c r="J40" s="2">
        <v>10</v>
      </c>
      <c r="K40" s="2">
        <v>0</v>
      </c>
      <c r="L40" s="2">
        <v>8</v>
      </c>
      <c r="M40" s="2">
        <v>7.9</v>
      </c>
      <c r="N40" s="2">
        <v>0</v>
      </c>
      <c r="O40" s="3">
        <v>1</v>
      </c>
      <c r="P40" s="3">
        <v>1</v>
      </c>
      <c r="Q40" s="3">
        <v>1</v>
      </c>
      <c r="R40" s="2" t="s">
        <v>24</v>
      </c>
    </row>
    <row r="41" spans="1:18" x14ac:dyDescent="0.3">
      <c r="A41" s="1">
        <v>46109</v>
      </c>
      <c r="B41" s="2" t="s">
        <v>71</v>
      </c>
      <c r="C41" s="2" t="s">
        <v>33</v>
      </c>
      <c r="D41" s="2" t="s">
        <v>34</v>
      </c>
      <c r="E41" s="2" t="s">
        <v>31</v>
      </c>
      <c r="F41" s="2" t="s">
        <v>22</v>
      </c>
      <c r="G41" s="2">
        <v>22</v>
      </c>
      <c r="H41" s="2" t="s">
        <v>46</v>
      </c>
      <c r="I41" s="2">
        <v>10</v>
      </c>
      <c r="J41" s="2">
        <v>7</v>
      </c>
      <c r="K41" s="2">
        <v>3</v>
      </c>
      <c r="L41" s="2">
        <v>9</v>
      </c>
      <c r="M41" s="2">
        <v>8.6999999999999993</v>
      </c>
      <c r="N41" s="2">
        <v>0</v>
      </c>
      <c r="O41" s="3">
        <v>0.63300000000000001</v>
      </c>
      <c r="P41" s="3">
        <v>0.55400000000000005</v>
      </c>
      <c r="Q41" s="3">
        <v>0.60099999999999998</v>
      </c>
      <c r="R41" s="2" t="s">
        <v>74</v>
      </c>
    </row>
    <row r="42" spans="1:18" x14ac:dyDescent="0.3">
      <c r="A42" s="1">
        <v>46111</v>
      </c>
      <c r="B42" s="2" t="s">
        <v>71</v>
      </c>
      <c r="C42" s="2" t="s">
        <v>35</v>
      </c>
      <c r="D42" s="2" t="s">
        <v>36</v>
      </c>
      <c r="E42" s="2" t="s">
        <v>37</v>
      </c>
      <c r="F42" s="2" t="s">
        <v>38</v>
      </c>
      <c r="G42" s="2">
        <v>22</v>
      </c>
      <c r="H42" s="2" t="s">
        <v>23</v>
      </c>
      <c r="I42" s="2">
        <v>18</v>
      </c>
      <c r="J42" s="2">
        <v>21</v>
      </c>
      <c r="K42" s="2">
        <v>0</v>
      </c>
      <c r="L42" s="2">
        <v>7</v>
      </c>
      <c r="M42" s="2">
        <v>5.4</v>
      </c>
      <c r="N42" s="2">
        <v>0</v>
      </c>
      <c r="O42" s="3">
        <v>1</v>
      </c>
      <c r="P42" s="3">
        <v>1</v>
      </c>
      <c r="Q42" s="3">
        <v>1</v>
      </c>
      <c r="R42" s="2" t="s">
        <v>24</v>
      </c>
    </row>
    <row r="43" spans="1:18" x14ac:dyDescent="0.3">
      <c r="A43" s="1">
        <v>46113</v>
      </c>
      <c r="B43" s="2" t="s">
        <v>75</v>
      </c>
      <c r="C43" s="2" t="s">
        <v>39</v>
      </c>
      <c r="D43" s="2" t="s">
        <v>40</v>
      </c>
      <c r="E43" s="2" t="s">
        <v>37</v>
      </c>
      <c r="F43" s="2" t="s">
        <v>27</v>
      </c>
      <c r="G43" s="2">
        <v>22</v>
      </c>
      <c r="H43" s="2" t="s">
        <v>23</v>
      </c>
      <c r="I43" s="2">
        <v>17</v>
      </c>
      <c r="J43" s="2">
        <v>18</v>
      </c>
      <c r="K43" s="2">
        <v>0</v>
      </c>
      <c r="L43" s="2">
        <v>7</v>
      </c>
      <c r="M43" s="2">
        <v>6.2</v>
      </c>
      <c r="N43" s="2">
        <v>0</v>
      </c>
      <c r="O43" s="3">
        <v>1</v>
      </c>
      <c r="P43" s="3">
        <v>0.97199999999999998</v>
      </c>
      <c r="Q43" s="3">
        <v>0.98899999999999999</v>
      </c>
      <c r="R43" s="2" t="s">
        <v>24</v>
      </c>
    </row>
    <row r="44" spans="1:18" x14ac:dyDescent="0.3">
      <c r="A44" s="1">
        <v>46117</v>
      </c>
      <c r="B44" s="2" t="s">
        <v>75</v>
      </c>
      <c r="C44" s="2" t="s">
        <v>44</v>
      </c>
      <c r="D44" s="2" t="s">
        <v>45</v>
      </c>
      <c r="E44" s="2" t="s">
        <v>43</v>
      </c>
      <c r="F44" s="2" t="s">
        <v>22</v>
      </c>
      <c r="G44" s="2">
        <v>20</v>
      </c>
      <c r="H44" s="2" t="s">
        <v>23</v>
      </c>
      <c r="I44" s="2">
        <v>14</v>
      </c>
      <c r="J44" s="2">
        <v>12</v>
      </c>
      <c r="K44" s="2">
        <v>2</v>
      </c>
      <c r="L44" s="2">
        <v>9</v>
      </c>
      <c r="M44" s="2">
        <v>10.199999999999999</v>
      </c>
      <c r="N44" s="2">
        <v>1.2</v>
      </c>
      <c r="O44" s="3">
        <v>0.88</v>
      </c>
      <c r="P44" s="3">
        <v>0.86099999999999999</v>
      </c>
      <c r="Q44" s="3">
        <v>0.872</v>
      </c>
      <c r="R44" s="2" t="s">
        <v>50</v>
      </c>
    </row>
    <row r="45" spans="1:18" x14ac:dyDescent="0.3">
      <c r="A45" s="1">
        <v>46119</v>
      </c>
      <c r="B45" s="2" t="s">
        <v>75</v>
      </c>
      <c r="C45" s="2" t="s">
        <v>47</v>
      </c>
      <c r="D45" s="2" t="s">
        <v>48</v>
      </c>
      <c r="E45" s="2" t="s">
        <v>49</v>
      </c>
      <c r="F45" s="2" t="s">
        <v>38</v>
      </c>
      <c r="G45" s="2">
        <v>20</v>
      </c>
      <c r="H45" s="2" t="s">
        <v>23</v>
      </c>
      <c r="I45" s="2">
        <v>15</v>
      </c>
      <c r="J45" s="2">
        <v>16</v>
      </c>
      <c r="K45" s="2">
        <v>0</v>
      </c>
      <c r="L45" s="2">
        <v>9</v>
      </c>
      <c r="M45" s="2">
        <v>9.4</v>
      </c>
      <c r="N45" s="2">
        <v>0.4</v>
      </c>
      <c r="O45" s="3">
        <v>1</v>
      </c>
      <c r="P45" s="3">
        <v>0.89600000000000002</v>
      </c>
      <c r="Q45" s="3">
        <v>0.95799999999999996</v>
      </c>
      <c r="R45" s="2" t="s">
        <v>24</v>
      </c>
    </row>
    <row r="46" spans="1:18" x14ac:dyDescent="0.3">
      <c r="A46" s="1">
        <v>46121</v>
      </c>
      <c r="B46" s="2" t="s">
        <v>75</v>
      </c>
      <c r="C46" s="2" t="s">
        <v>51</v>
      </c>
      <c r="D46" s="2" t="s">
        <v>52</v>
      </c>
      <c r="E46" s="2" t="s">
        <v>49</v>
      </c>
      <c r="F46" s="2" t="s">
        <v>32</v>
      </c>
      <c r="G46" s="2">
        <v>20</v>
      </c>
      <c r="H46" s="2" t="s">
        <v>46</v>
      </c>
      <c r="I46" s="2">
        <v>12</v>
      </c>
      <c r="J46" s="2">
        <v>10</v>
      </c>
      <c r="K46" s="2">
        <v>2</v>
      </c>
      <c r="L46" s="2">
        <v>8</v>
      </c>
      <c r="M46" s="2">
        <v>6.1</v>
      </c>
      <c r="N46" s="2">
        <v>0</v>
      </c>
      <c r="O46" s="3">
        <v>0.89400000000000002</v>
      </c>
      <c r="P46" s="3">
        <v>0.96699999999999997</v>
      </c>
      <c r="Q46" s="3">
        <v>0.92300000000000004</v>
      </c>
      <c r="R46" s="2" t="s">
        <v>24</v>
      </c>
    </row>
    <row r="47" spans="1:18" x14ac:dyDescent="0.3">
      <c r="A47" s="1">
        <v>46123</v>
      </c>
      <c r="B47" s="2" t="s">
        <v>75</v>
      </c>
      <c r="C47" s="2" t="s">
        <v>72</v>
      </c>
      <c r="D47" s="2" t="s">
        <v>73</v>
      </c>
      <c r="E47" s="2" t="s">
        <v>55</v>
      </c>
      <c r="F47" s="2" t="s">
        <v>27</v>
      </c>
      <c r="G47" s="2">
        <v>21</v>
      </c>
      <c r="H47" s="2" t="s">
        <v>23</v>
      </c>
      <c r="I47" s="2">
        <v>10</v>
      </c>
      <c r="J47" s="2">
        <v>10</v>
      </c>
      <c r="K47" s="2">
        <v>0</v>
      </c>
      <c r="L47" s="2">
        <v>9</v>
      </c>
      <c r="M47" s="2">
        <v>9.4</v>
      </c>
      <c r="N47" s="2">
        <v>0.4</v>
      </c>
      <c r="O47" s="3">
        <v>1</v>
      </c>
      <c r="P47" s="3">
        <v>1</v>
      </c>
      <c r="Q47" s="3">
        <v>1</v>
      </c>
      <c r="R47" s="2" t="s">
        <v>24</v>
      </c>
    </row>
    <row r="48" spans="1:18" x14ac:dyDescent="0.3">
      <c r="A48" s="1">
        <v>46125</v>
      </c>
      <c r="B48" s="2" t="s">
        <v>75</v>
      </c>
      <c r="C48" s="2" t="s">
        <v>53</v>
      </c>
      <c r="D48" s="2" t="s">
        <v>54</v>
      </c>
      <c r="E48" s="2" t="s">
        <v>55</v>
      </c>
      <c r="F48" s="2" t="s">
        <v>22</v>
      </c>
      <c r="G48" s="2">
        <v>22</v>
      </c>
      <c r="H48" s="2" t="s">
        <v>46</v>
      </c>
      <c r="I48" s="2">
        <v>8</v>
      </c>
      <c r="J48" s="2">
        <v>10</v>
      </c>
      <c r="K48" s="2">
        <v>0</v>
      </c>
      <c r="L48" s="2">
        <v>9</v>
      </c>
      <c r="M48" s="2">
        <v>8.6</v>
      </c>
      <c r="N48" s="2">
        <v>0</v>
      </c>
      <c r="O48" s="3">
        <v>1</v>
      </c>
      <c r="P48" s="3">
        <v>1</v>
      </c>
      <c r="Q48" s="3">
        <v>1</v>
      </c>
      <c r="R48" s="2" t="s">
        <v>24</v>
      </c>
    </row>
    <row r="49" spans="1:18" x14ac:dyDescent="0.3">
      <c r="A49" s="1">
        <v>46127</v>
      </c>
      <c r="B49" s="2" t="s">
        <v>75</v>
      </c>
      <c r="C49" s="2" t="s">
        <v>56</v>
      </c>
      <c r="D49" s="2" t="s">
        <v>57</v>
      </c>
      <c r="E49" s="2" t="s">
        <v>21</v>
      </c>
      <c r="F49" s="2" t="s">
        <v>38</v>
      </c>
      <c r="G49" s="2">
        <v>20</v>
      </c>
      <c r="H49" s="2" t="s">
        <v>23</v>
      </c>
      <c r="I49" s="2">
        <v>9</v>
      </c>
      <c r="J49" s="2">
        <v>6</v>
      </c>
      <c r="K49" s="2">
        <v>70</v>
      </c>
      <c r="L49" s="2">
        <v>9</v>
      </c>
      <c r="M49" s="2">
        <v>8.3000000000000007</v>
      </c>
      <c r="N49" s="2">
        <v>0</v>
      </c>
      <c r="O49" s="3">
        <v>0.67500000000000004</v>
      </c>
      <c r="P49" s="3">
        <v>0.61499999999999999</v>
      </c>
      <c r="Q49" s="3">
        <v>0.65100000000000002</v>
      </c>
      <c r="R49" s="2" t="s">
        <v>74</v>
      </c>
    </row>
    <row r="50" spans="1:18" x14ac:dyDescent="0.3">
      <c r="A50" s="1">
        <v>46131</v>
      </c>
      <c r="B50" s="2" t="s">
        <v>75</v>
      </c>
      <c r="C50" s="2" t="s">
        <v>60</v>
      </c>
      <c r="D50" s="2" t="s">
        <v>61</v>
      </c>
      <c r="E50" s="2" t="s">
        <v>37</v>
      </c>
      <c r="F50" s="2" t="s">
        <v>32</v>
      </c>
      <c r="G50" s="2">
        <v>22</v>
      </c>
      <c r="H50" s="2" t="s">
        <v>23</v>
      </c>
      <c r="I50" s="2">
        <v>12</v>
      </c>
      <c r="J50" s="2">
        <v>15</v>
      </c>
      <c r="K50" s="2">
        <v>0</v>
      </c>
      <c r="L50" s="2">
        <v>7</v>
      </c>
      <c r="M50" s="2">
        <v>8.1</v>
      </c>
      <c r="N50" s="2">
        <v>1.1000000000000001</v>
      </c>
      <c r="O50" s="3">
        <v>1</v>
      </c>
      <c r="P50" s="3">
        <v>0.97299999999999998</v>
      </c>
      <c r="Q50" s="3">
        <v>0.98899999999999999</v>
      </c>
      <c r="R50" s="2" t="s">
        <v>24</v>
      </c>
    </row>
    <row r="51" spans="1:18" x14ac:dyDescent="0.3">
      <c r="A51" s="1">
        <v>46133</v>
      </c>
      <c r="B51" s="2" t="s">
        <v>75</v>
      </c>
      <c r="C51" s="2" t="s">
        <v>62</v>
      </c>
      <c r="D51" s="2" t="s">
        <v>63</v>
      </c>
      <c r="E51" s="2" t="s">
        <v>43</v>
      </c>
      <c r="F51" s="2" t="s">
        <v>38</v>
      </c>
      <c r="G51" s="2">
        <v>21</v>
      </c>
      <c r="H51" s="2" t="s">
        <v>23</v>
      </c>
      <c r="I51" s="2">
        <v>8</v>
      </c>
      <c r="J51" s="2">
        <v>7</v>
      </c>
      <c r="K51" s="2">
        <v>1</v>
      </c>
      <c r="L51" s="2">
        <v>7</v>
      </c>
      <c r="M51" s="2">
        <v>8</v>
      </c>
      <c r="N51" s="2">
        <v>1</v>
      </c>
      <c r="O51" s="3">
        <v>0.89700000000000002</v>
      </c>
      <c r="P51" s="3">
        <v>0.83499999999999996</v>
      </c>
      <c r="Q51" s="3">
        <v>0.872</v>
      </c>
      <c r="R51" s="2" t="s">
        <v>50</v>
      </c>
    </row>
    <row r="52" spans="1:18" x14ac:dyDescent="0.3">
      <c r="A52" s="1">
        <v>46135</v>
      </c>
      <c r="B52" s="2" t="s">
        <v>75</v>
      </c>
      <c r="C52" s="2" t="s">
        <v>65</v>
      </c>
      <c r="D52" s="2" t="s">
        <v>66</v>
      </c>
      <c r="E52" s="2" t="s">
        <v>49</v>
      </c>
      <c r="F52" s="2" t="s">
        <v>22</v>
      </c>
      <c r="G52" s="2">
        <v>22</v>
      </c>
      <c r="H52" s="2" t="s">
        <v>23</v>
      </c>
      <c r="I52" s="2">
        <v>16</v>
      </c>
      <c r="J52" s="2">
        <v>18</v>
      </c>
      <c r="K52" s="2">
        <v>0</v>
      </c>
      <c r="L52" s="2">
        <v>8</v>
      </c>
      <c r="M52" s="2">
        <v>7.1</v>
      </c>
      <c r="N52" s="2">
        <v>0</v>
      </c>
      <c r="O52" s="3">
        <v>1</v>
      </c>
      <c r="P52" s="3">
        <v>0.90500000000000003</v>
      </c>
      <c r="Q52" s="3">
        <v>0.96199999999999997</v>
      </c>
      <c r="R52" s="2" t="s">
        <v>24</v>
      </c>
    </row>
    <row r="53" spans="1:18" x14ac:dyDescent="0.3">
      <c r="A53" s="1">
        <v>46137</v>
      </c>
      <c r="B53" s="2" t="s">
        <v>75</v>
      </c>
      <c r="C53" s="2" t="s">
        <v>67</v>
      </c>
      <c r="D53" s="2" t="s">
        <v>68</v>
      </c>
      <c r="E53" s="2" t="s">
        <v>55</v>
      </c>
      <c r="F53" s="2" t="s">
        <v>32</v>
      </c>
      <c r="G53" s="2">
        <v>22</v>
      </c>
      <c r="H53" s="2" t="s">
        <v>23</v>
      </c>
      <c r="I53" s="2">
        <v>16</v>
      </c>
      <c r="J53" s="2">
        <v>13</v>
      </c>
      <c r="K53" s="2">
        <v>3</v>
      </c>
      <c r="L53" s="2">
        <v>8</v>
      </c>
      <c r="M53" s="2">
        <v>7.7</v>
      </c>
      <c r="N53" s="2">
        <v>0</v>
      </c>
      <c r="O53" s="3">
        <v>0.82599999999999996</v>
      </c>
      <c r="P53" s="3">
        <v>0.73899999999999999</v>
      </c>
      <c r="Q53" s="3">
        <v>0.79100000000000004</v>
      </c>
      <c r="R53" s="2" t="s">
        <v>50</v>
      </c>
    </row>
    <row r="54" spans="1:18" x14ac:dyDescent="0.3">
      <c r="A54" s="1">
        <v>46139</v>
      </c>
      <c r="B54" s="2" t="s">
        <v>75</v>
      </c>
      <c r="C54" s="2" t="s">
        <v>76</v>
      </c>
      <c r="D54" s="2" t="s">
        <v>77</v>
      </c>
      <c r="E54" s="2" t="s">
        <v>21</v>
      </c>
      <c r="F54" s="2" t="s">
        <v>27</v>
      </c>
      <c r="G54" s="2">
        <v>20</v>
      </c>
      <c r="H54" s="2" t="s">
        <v>23</v>
      </c>
      <c r="I54" s="2">
        <v>12</v>
      </c>
      <c r="J54" s="2">
        <v>11</v>
      </c>
      <c r="K54" s="2">
        <v>1</v>
      </c>
      <c r="L54" s="2">
        <v>7</v>
      </c>
      <c r="M54" s="2">
        <v>7.4</v>
      </c>
      <c r="N54" s="2">
        <v>0.4</v>
      </c>
      <c r="O54" s="3">
        <v>0.98</v>
      </c>
      <c r="P54" s="3">
        <v>0.90600000000000003</v>
      </c>
      <c r="Q54" s="3">
        <v>0.95</v>
      </c>
      <c r="R54" s="2" t="s">
        <v>24</v>
      </c>
    </row>
    <row r="55" spans="1:18" x14ac:dyDescent="0.3">
      <c r="A55" s="1">
        <v>46141</v>
      </c>
      <c r="B55" s="2" t="s">
        <v>75</v>
      </c>
      <c r="C55" s="2" t="s">
        <v>69</v>
      </c>
      <c r="D55" s="2" t="s">
        <v>70</v>
      </c>
      <c r="E55" s="2" t="s">
        <v>31</v>
      </c>
      <c r="F55" s="2" t="s">
        <v>38</v>
      </c>
      <c r="G55" s="2">
        <v>20</v>
      </c>
      <c r="H55" s="2" t="s">
        <v>28</v>
      </c>
      <c r="I55" s="2">
        <v>9</v>
      </c>
      <c r="J55" s="2">
        <v>8</v>
      </c>
      <c r="K55" s="2">
        <v>1</v>
      </c>
      <c r="L55" s="2">
        <v>9</v>
      </c>
      <c r="M55" s="2">
        <v>10.1</v>
      </c>
      <c r="N55" s="2">
        <v>1.1000000000000001</v>
      </c>
      <c r="O55" s="3">
        <v>0.95</v>
      </c>
      <c r="P55" s="3">
        <v>0.91900000000000004</v>
      </c>
      <c r="Q55" s="3">
        <v>0.93799999999999994</v>
      </c>
      <c r="R55" s="2" t="s">
        <v>24</v>
      </c>
    </row>
    <row r="56" spans="1:18" x14ac:dyDescent="0.3">
      <c r="A56" s="1">
        <v>46143</v>
      </c>
      <c r="B56" s="2" t="s">
        <v>78</v>
      </c>
      <c r="C56" s="2" t="s">
        <v>19</v>
      </c>
      <c r="D56" s="2" t="s">
        <v>20</v>
      </c>
      <c r="E56" s="2" t="s">
        <v>21</v>
      </c>
      <c r="F56" s="2" t="s">
        <v>22</v>
      </c>
      <c r="G56" s="2">
        <v>22</v>
      </c>
      <c r="H56" s="2" t="s">
        <v>28</v>
      </c>
      <c r="I56" s="2">
        <v>10</v>
      </c>
      <c r="J56" s="2">
        <v>8</v>
      </c>
      <c r="K56" s="2">
        <v>2</v>
      </c>
      <c r="L56" s="2">
        <v>7</v>
      </c>
      <c r="M56" s="2">
        <v>6.5</v>
      </c>
      <c r="N56" s="2">
        <v>0</v>
      </c>
      <c r="O56" s="3">
        <v>0.876</v>
      </c>
      <c r="P56" s="3">
        <v>0.93400000000000005</v>
      </c>
      <c r="Q56" s="3">
        <v>0.89900000000000002</v>
      </c>
      <c r="R56" s="2" t="s">
        <v>50</v>
      </c>
    </row>
    <row r="57" spans="1:18" x14ac:dyDescent="0.3">
      <c r="A57" s="1">
        <v>46145</v>
      </c>
      <c r="B57" s="2" t="s">
        <v>78</v>
      </c>
      <c r="C57" s="2" t="s">
        <v>25</v>
      </c>
      <c r="D57" s="2" t="s">
        <v>26</v>
      </c>
      <c r="E57" s="2" t="s">
        <v>21</v>
      </c>
      <c r="F57" s="2" t="s">
        <v>27</v>
      </c>
      <c r="G57" s="2">
        <v>21</v>
      </c>
      <c r="H57" s="2" t="s">
        <v>23</v>
      </c>
      <c r="I57" s="2">
        <v>10</v>
      </c>
      <c r="J57" s="2">
        <v>12</v>
      </c>
      <c r="K57" s="2">
        <v>0</v>
      </c>
      <c r="L57" s="2">
        <v>8</v>
      </c>
      <c r="M57" s="2">
        <v>7.8</v>
      </c>
      <c r="N57" s="2">
        <v>0</v>
      </c>
      <c r="O57" s="3">
        <v>1</v>
      </c>
      <c r="P57" s="3">
        <v>0.97099999999999997</v>
      </c>
      <c r="Q57" s="3">
        <v>0.98799999999999999</v>
      </c>
      <c r="R57" s="2" t="s">
        <v>24</v>
      </c>
    </row>
    <row r="58" spans="1:18" x14ac:dyDescent="0.3">
      <c r="A58" s="1">
        <v>46149</v>
      </c>
      <c r="B58" s="2" t="s">
        <v>78</v>
      </c>
      <c r="C58" s="2" t="s">
        <v>33</v>
      </c>
      <c r="D58" s="2" t="s">
        <v>34</v>
      </c>
      <c r="E58" s="2" t="s">
        <v>31</v>
      </c>
      <c r="F58" s="2" t="s">
        <v>22</v>
      </c>
      <c r="G58" s="2">
        <v>21</v>
      </c>
      <c r="H58" s="2" t="s">
        <v>23</v>
      </c>
      <c r="I58" s="2">
        <v>15</v>
      </c>
      <c r="J58" s="2">
        <v>13</v>
      </c>
      <c r="K58" s="2">
        <v>2</v>
      </c>
      <c r="L58" s="2">
        <v>7</v>
      </c>
      <c r="M58" s="2">
        <v>5.7</v>
      </c>
      <c r="N58" s="2">
        <v>0</v>
      </c>
      <c r="O58" s="3">
        <v>0.91700000000000004</v>
      </c>
      <c r="P58" s="3">
        <v>0.89800000000000002</v>
      </c>
      <c r="Q58" s="3">
        <v>0.90900000000000003</v>
      </c>
      <c r="R58" s="2" t="s">
        <v>24</v>
      </c>
    </row>
    <row r="59" spans="1:18" x14ac:dyDescent="0.3">
      <c r="A59" s="1">
        <v>46151</v>
      </c>
      <c r="B59" s="2" t="s">
        <v>78</v>
      </c>
      <c r="C59" s="2" t="s">
        <v>35</v>
      </c>
      <c r="D59" s="2" t="s">
        <v>36</v>
      </c>
      <c r="E59" s="2" t="s">
        <v>37</v>
      </c>
      <c r="F59" s="2" t="s">
        <v>38</v>
      </c>
      <c r="G59" s="2">
        <v>21</v>
      </c>
      <c r="H59" s="2" t="s">
        <v>23</v>
      </c>
      <c r="I59" s="2">
        <v>11</v>
      </c>
      <c r="J59" s="2">
        <v>8</v>
      </c>
      <c r="K59" s="2">
        <v>3</v>
      </c>
      <c r="L59" s="2">
        <v>9</v>
      </c>
      <c r="M59" s="2">
        <v>9.9</v>
      </c>
      <c r="N59" s="2">
        <v>0.9</v>
      </c>
      <c r="O59" s="3">
        <v>0.67800000000000005</v>
      </c>
      <c r="P59" s="3">
        <v>0.63</v>
      </c>
      <c r="Q59" s="3">
        <v>0.65900000000000003</v>
      </c>
      <c r="R59" s="2" t="s">
        <v>74</v>
      </c>
    </row>
    <row r="60" spans="1:18" x14ac:dyDescent="0.3">
      <c r="A60" s="1">
        <v>46153</v>
      </c>
      <c r="B60" s="2" t="s">
        <v>78</v>
      </c>
      <c r="C60" s="2" t="s">
        <v>39</v>
      </c>
      <c r="D60" s="2" t="s">
        <v>40</v>
      </c>
      <c r="E60" s="2" t="s">
        <v>37</v>
      </c>
      <c r="F60" s="2" t="s">
        <v>27</v>
      </c>
      <c r="G60" s="2">
        <v>20</v>
      </c>
      <c r="H60" s="2" t="s">
        <v>23</v>
      </c>
      <c r="I60" s="2">
        <v>13</v>
      </c>
      <c r="J60" s="2">
        <v>15</v>
      </c>
      <c r="K60" s="2">
        <v>0</v>
      </c>
      <c r="L60" s="2">
        <v>9</v>
      </c>
      <c r="M60" s="2">
        <v>10.5</v>
      </c>
      <c r="N60" s="2">
        <v>1.5</v>
      </c>
      <c r="O60" s="3">
        <v>1</v>
      </c>
      <c r="P60" s="3">
        <v>1</v>
      </c>
      <c r="Q60" s="3">
        <v>1</v>
      </c>
      <c r="R60" s="2" t="s">
        <v>24</v>
      </c>
    </row>
    <row r="61" spans="1:18" x14ac:dyDescent="0.3">
      <c r="A61" s="1">
        <v>46155</v>
      </c>
      <c r="B61" s="2" t="s">
        <v>78</v>
      </c>
      <c r="C61" s="2" t="s">
        <v>41</v>
      </c>
      <c r="D61" s="2" t="s">
        <v>42</v>
      </c>
      <c r="E61" s="2" t="s">
        <v>43</v>
      </c>
      <c r="F61" s="2" t="s">
        <v>32</v>
      </c>
      <c r="G61" s="2">
        <v>22</v>
      </c>
      <c r="H61" s="2" t="s">
        <v>23</v>
      </c>
      <c r="I61" s="2">
        <v>8</v>
      </c>
      <c r="J61" s="2">
        <v>5</v>
      </c>
      <c r="K61" s="2">
        <v>50</v>
      </c>
      <c r="L61" s="2">
        <v>8</v>
      </c>
      <c r="M61" s="2">
        <v>7.9</v>
      </c>
      <c r="N61" s="2">
        <v>0</v>
      </c>
      <c r="O61" s="3">
        <v>0.57399999999999995</v>
      </c>
      <c r="P61" s="3">
        <v>0.66600000000000004</v>
      </c>
      <c r="Q61" s="3">
        <v>0.61099999999999999</v>
      </c>
      <c r="R61" s="2" t="s">
        <v>74</v>
      </c>
    </row>
    <row r="62" spans="1:18" x14ac:dyDescent="0.3">
      <c r="A62" s="1">
        <v>46157</v>
      </c>
      <c r="B62" s="2" t="s">
        <v>78</v>
      </c>
      <c r="C62" s="2" t="s">
        <v>44</v>
      </c>
      <c r="D62" s="2" t="s">
        <v>45</v>
      </c>
      <c r="E62" s="2" t="s">
        <v>43</v>
      </c>
      <c r="F62" s="2" t="s">
        <v>22</v>
      </c>
      <c r="G62" s="2">
        <v>21</v>
      </c>
      <c r="H62" s="2" t="s">
        <v>23</v>
      </c>
      <c r="I62" s="2">
        <v>9</v>
      </c>
      <c r="J62" s="2">
        <v>10</v>
      </c>
      <c r="K62" s="2">
        <v>0</v>
      </c>
      <c r="L62" s="2">
        <v>8</v>
      </c>
      <c r="M62" s="2">
        <v>9.1</v>
      </c>
      <c r="N62" s="2">
        <v>1.1000000000000001</v>
      </c>
      <c r="O62" s="3">
        <v>1</v>
      </c>
      <c r="P62" s="3">
        <v>1</v>
      </c>
      <c r="Q62" s="3">
        <v>1</v>
      </c>
      <c r="R62" s="2" t="s">
        <v>24</v>
      </c>
    </row>
    <row r="63" spans="1:18" x14ac:dyDescent="0.3">
      <c r="A63" s="1">
        <v>46159</v>
      </c>
      <c r="B63" s="2" t="s">
        <v>78</v>
      </c>
      <c r="C63" s="2" t="s">
        <v>47</v>
      </c>
      <c r="D63" s="2" t="s">
        <v>48</v>
      </c>
      <c r="E63" s="2" t="s">
        <v>49</v>
      </c>
      <c r="F63" s="2" t="s">
        <v>38</v>
      </c>
      <c r="G63" s="2">
        <v>21</v>
      </c>
      <c r="H63" s="2" t="s">
        <v>46</v>
      </c>
      <c r="I63" s="2">
        <v>16</v>
      </c>
      <c r="J63" s="2">
        <v>13</v>
      </c>
      <c r="K63" s="2">
        <v>3</v>
      </c>
      <c r="L63" s="2">
        <v>8</v>
      </c>
      <c r="M63" s="2">
        <v>8.4</v>
      </c>
      <c r="N63" s="2">
        <v>0.4</v>
      </c>
      <c r="O63" s="3">
        <v>0.876</v>
      </c>
      <c r="P63" s="3">
        <v>0.79800000000000004</v>
      </c>
      <c r="Q63" s="3">
        <v>0.84499999999999997</v>
      </c>
      <c r="R63" s="2" t="s">
        <v>50</v>
      </c>
    </row>
    <row r="64" spans="1:18" x14ac:dyDescent="0.3">
      <c r="A64" s="1">
        <v>46163</v>
      </c>
      <c r="B64" s="2" t="s">
        <v>78</v>
      </c>
      <c r="C64" s="2" t="s">
        <v>72</v>
      </c>
      <c r="D64" s="2" t="s">
        <v>73</v>
      </c>
      <c r="E64" s="2" t="s">
        <v>55</v>
      </c>
      <c r="F64" s="2" t="s">
        <v>27</v>
      </c>
      <c r="G64" s="2">
        <v>22</v>
      </c>
      <c r="H64" s="2" t="s">
        <v>28</v>
      </c>
      <c r="I64" s="2">
        <v>19</v>
      </c>
      <c r="J64" s="2">
        <v>21</v>
      </c>
      <c r="K64" s="2">
        <v>0</v>
      </c>
      <c r="L64" s="2">
        <v>7</v>
      </c>
      <c r="M64" s="2">
        <v>7.4</v>
      </c>
      <c r="N64" s="2">
        <v>0.4</v>
      </c>
      <c r="O64" s="3">
        <v>1</v>
      </c>
      <c r="P64" s="3">
        <v>0.89500000000000002</v>
      </c>
      <c r="Q64" s="3">
        <v>0.95799999999999996</v>
      </c>
      <c r="R64" s="2" t="s">
        <v>24</v>
      </c>
    </row>
    <row r="65" spans="1:18" x14ac:dyDescent="0.3">
      <c r="A65" s="1">
        <v>46165</v>
      </c>
      <c r="B65" s="2" t="s">
        <v>78</v>
      </c>
      <c r="C65" s="2" t="s">
        <v>53</v>
      </c>
      <c r="D65" s="2" t="s">
        <v>54</v>
      </c>
      <c r="E65" s="2" t="s">
        <v>55</v>
      </c>
      <c r="F65" s="2" t="s">
        <v>22</v>
      </c>
      <c r="G65" s="2">
        <v>22</v>
      </c>
      <c r="H65" s="2" t="s">
        <v>23</v>
      </c>
      <c r="I65" s="2">
        <v>17</v>
      </c>
      <c r="J65" s="2">
        <v>16</v>
      </c>
      <c r="K65" s="2">
        <v>1</v>
      </c>
      <c r="L65" s="2">
        <v>9</v>
      </c>
      <c r="M65" s="2">
        <v>10.7</v>
      </c>
      <c r="N65" s="2">
        <v>1.7</v>
      </c>
      <c r="O65" s="3">
        <v>0.997</v>
      </c>
      <c r="P65" s="3">
        <v>1</v>
      </c>
      <c r="Q65" s="3">
        <v>0.998</v>
      </c>
      <c r="R65" s="2" t="s">
        <v>24</v>
      </c>
    </row>
    <row r="66" spans="1:18" x14ac:dyDescent="0.3">
      <c r="A66" s="1">
        <v>46167</v>
      </c>
      <c r="B66" s="2" t="s">
        <v>78</v>
      </c>
      <c r="C66" s="2" t="s">
        <v>56</v>
      </c>
      <c r="D66" s="2" t="s">
        <v>57</v>
      </c>
      <c r="E66" s="2" t="s">
        <v>21</v>
      </c>
      <c r="F66" s="2" t="s">
        <v>38</v>
      </c>
      <c r="G66" s="2">
        <v>21</v>
      </c>
      <c r="H66" s="2" t="s">
        <v>46</v>
      </c>
      <c r="I66" s="2">
        <v>12</v>
      </c>
      <c r="J66" s="2">
        <v>14</v>
      </c>
      <c r="K66" s="2">
        <v>0</v>
      </c>
      <c r="L66" s="2">
        <v>8</v>
      </c>
      <c r="M66" s="2">
        <v>8</v>
      </c>
      <c r="N66" s="2">
        <v>0</v>
      </c>
      <c r="O66" s="3">
        <v>1</v>
      </c>
      <c r="P66" s="3">
        <v>1</v>
      </c>
      <c r="Q66" s="3">
        <v>1</v>
      </c>
      <c r="R66" s="2" t="s">
        <v>24</v>
      </c>
    </row>
    <row r="67" spans="1:18" x14ac:dyDescent="0.3">
      <c r="A67" s="1">
        <v>46169</v>
      </c>
      <c r="B67" s="2" t="s">
        <v>78</v>
      </c>
      <c r="C67" s="2" t="s">
        <v>58</v>
      </c>
      <c r="D67" s="2" t="s">
        <v>59</v>
      </c>
      <c r="E67" s="2" t="s">
        <v>31</v>
      </c>
      <c r="F67" s="2" t="s">
        <v>27</v>
      </c>
      <c r="G67" s="2">
        <v>22</v>
      </c>
      <c r="H67" s="2" t="s">
        <v>23</v>
      </c>
      <c r="I67" s="2">
        <v>11</v>
      </c>
      <c r="J67" s="2">
        <v>11</v>
      </c>
      <c r="K67" s="2">
        <v>0</v>
      </c>
      <c r="L67" s="2">
        <v>9</v>
      </c>
      <c r="M67" s="2">
        <v>10.7</v>
      </c>
      <c r="N67" s="2">
        <v>1.7</v>
      </c>
      <c r="O67" s="3">
        <v>1</v>
      </c>
      <c r="P67" s="3">
        <v>1</v>
      </c>
      <c r="Q67" s="3">
        <v>1</v>
      </c>
      <c r="R67" s="2" t="s">
        <v>24</v>
      </c>
    </row>
    <row r="68" spans="1:18" x14ac:dyDescent="0.3">
      <c r="A68" s="1">
        <v>46171</v>
      </c>
      <c r="B68" s="2" t="s">
        <v>78</v>
      </c>
      <c r="C68" s="2" t="s">
        <v>60</v>
      </c>
      <c r="D68" s="2" t="s">
        <v>61</v>
      </c>
      <c r="E68" s="2" t="s">
        <v>37</v>
      </c>
      <c r="F68" s="2" t="s">
        <v>32</v>
      </c>
      <c r="G68" s="2">
        <v>20</v>
      </c>
      <c r="H68" s="2" t="s">
        <v>46</v>
      </c>
      <c r="I68" s="2">
        <v>17</v>
      </c>
      <c r="J68" s="2">
        <v>16</v>
      </c>
      <c r="K68" s="2">
        <v>1</v>
      </c>
      <c r="L68" s="2">
        <v>8</v>
      </c>
      <c r="M68" s="2">
        <v>5.0999999999999996</v>
      </c>
      <c r="N68" s="2">
        <v>0</v>
      </c>
      <c r="O68" s="3">
        <v>0.94899999999999995</v>
      </c>
      <c r="P68" s="3">
        <v>0.82899999999999996</v>
      </c>
      <c r="Q68" s="3">
        <v>0.90100000000000002</v>
      </c>
      <c r="R68" s="2" t="s">
        <v>24</v>
      </c>
    </row>
    <row r="69" spans="1:18" x14ac:dyDescent="0.3">
      <c r="A69" s="1">
        <v>46173</v>
      </c>
      <c r="B69" s="2" t="s">
        <v>78</v>
      </c>
      <c r="C69" s="2" t="s">
        <v>62</v>
      </c>
      <c r="D69" s="2" t="s">
        <v>63</v>
      </c>
      <c r="E69" s="2" t="s">
        <v>43</v>
      </c>
      <c r="F69" s="2" t="s">
        <v>38</v>
      </c>
      <c r="G69" s="2">
        <v>21</v>
      </c>
      <c r="H69" s="2" t="s">
        <v>23</v>
      </c>
      <c r="I69" s="2">
        <v>14</v>
      </c>
      <c r="J69" s="2">
        <v>17</v>
      </c>
      <c r="K69" s="2">
        <v>0</v>
      </c>
      <c r="L69" s="2">
        <v>9</v>
      </c>
      <c r="M69" s="2">
        <v>9.9</v>
      </c>
      <c r="N69" s="2">
        <v>0.9</v>
      </c>
      <c r="O69" s="3">
        <v>1</v>
      </c>
      <c r="P69" s="3">
        <v>0.95099999999999996</v>
      </c>
      <c r="Q69" s="3">
        <v>0.98</v>
      </c>
      <c r="R69" s="2" t="s">
        <v>24</v>
      </c>
    </row>
    <row r="70" spans="1:18" x14ac:dyDescent="0.3">
      <c r="A70" s="1">
        <v>46175</v>
      </c>
      <c r="B70" s="2" t="s">
        <v>79</v>
      </c>
      <c r="C70" s="2" t="s">
        <v>65</v>
      </c>
      <c r="D70" s="2" t="s">
        <v>66</v>
      </c>
      <c r="E70" s="2" t="s">
        <v>49</v>
      </c>
      <c r="F70" s="2" t="s">
        <v>22</v>
      </c>
      <c r="G70" s="2">
        <v>21</v>
      </c>
      <c r="H70" s="2" t="s">
        <v>23</v>
      </c>
      <c r="I70" s="2">
        <v>18</v>
      </c>
      <c r="J70" s="2">
        <v>16</v>
      </c>
      <c r="K70" s="2">
        <v>2</v>
      </c>
      <c r="L70" s="2">
        <v>9</v>
      </c>
      <c r="M70" s="2">
        <v>9.1</v>
      </c>
      <c r="N70" s="2">
        <v>0.1</v>
      </c>
      <c r="O70" s="3">
        <v>0.88500000000000001</v>
      </c>
      <c r="P70" s="3">
        <v>0.96299999999999997</v>
      </c>
      <c r="Q70" s="3">
        <v>0.91600000000000004</v>
      </c>
      <c r="R70" s="2" t="s">
        <v>24</v>
      </c>
    </row>
    <row r="71" spans="1:18" x14ac:dyDescent="0.3">
      <c r="A71" s="1">
        <v>46179</v>
      </c>
      <c r="B71" s="2" t="s">
        <v>79</v>
      </c>
      <c r="C71" s="2" t="s">
        <v>76</v>
      </c>
      <c r="D71" s="2" t="s">
        <v>77</v>
      </c>
      <c r="E71" s="2" t="s">
        <v>21</v>
      </c>
      <c r="F71" s="2" t="s">
        <v>27</v>
      </c>
      <c r="G71" s="2">
        <v>21</v>
      </c>
      <c r="H71" s="2" t="s">
        <v>23</v>
      </c>
      <c r="I71" s="2">
        <v>20</v>
      </c>
      <c r="J71" s="2">
        <v>18</v>
      </c>
      <c r="K71" s="2">
        <v>2</v>
      </c>
      <c r="L71" s="2">
        <v>9</v>
      </c>
      <c r="M71" s="2">
        <v>9.1</v>
      </c>
      <c r="N71" s="2">
        <v>0.1</v>
      </c>
      <c r="O71" s="3">
        <v>0.87</v>
      </c>
      <c r="P71" s="3">
        <v>0.92700000000000005</v>
      </c>
      <c r="Q71" s="3">
        <v>0.89300000000000002</v>
      </c>
      <c r="R71" s="2" t="s">
        <v>50</v>
      </c>
    </row>
    <row r="72" spans="1:18" x14ac:dyDescent="0.3">
      <c r="A72" s="1">
        <v>46181</v>
      </c>
      <c r="B72" s="2" t="s">
        <v>79</v>
      </c>
      <c r="C72" s="2" t="s">
        <v>69</v>
      </c>
      <c r="D72" s="2" t="s">
        <v>70</v>
      </c>
      <c r="E72" s="2" t="s">
        <v>31</v>
      </c>
      <c r="F72" s="2" t="s">
        <v>38</v>
      </c>
      <c r="G72" s="2">
        <v>20</v>
      </c>
      <c r="H72" s="2" t="s">
        <v>23</v>
      </c>
      <c r="I72" s="2">
        <v>8</v>
      </c>
      <c r="J72" s="2">
        <v>6</v>
      </c>
      <c r="K72" s="2">
        <v>2</v>
      </c>
      <c r="L72" s="2">
        <v>8</v>
      </c>
      <c r="M72" s="2">
        <v>5.8</v>
      </c>
      <c r="N72" s="2">
        <v>0</v>
      </c>
      <c r="O72" s="3">
        <v>0.76800000000000002</v>
      </c>
      <c r="P72" s="3">
        <v>0.81699999999999995</v>
      </c>
      <c r="Q72" s="3">
        <v>0.78800000000000003</v>
      </c>
      <c r="R72" s="2" t="s">
        <v>50</v>
      </c>
    </row>
    <row r="73" spans="1:18" x14ac:dyDescent="0.3">
      <c r="A73" s="1">
        <v>46183</v>
      </c>
      <c r="B73" s="2" t="s">
        <v>79</v>
      </c>
      <c r="C73" s="2" t="s">
        <v>19</v>
      </c>
      <c r="D73" s="2" t="s">
        <v>20</v>
      </c>
      <c r="E73" s="2" t="s">
        <v>21</v>
      </c>
      <c r="F73" s="2" t="s">
        <v>22</v>
      </c>
      <c r="G73" s="2">
        <v>21</v>
      </c>
      <c r="H73" s="2" t="s">
        <v>23</v>
      </c>
      <c r="I73" s="2">
        <v>18</v>
      </c>
      <c r="J73" s="2">
        <v>19</v>
      </c>
      <c r="K73" s="2">
        <v>50</v>
      </c>
      <c r="L73" s="2">
        <v>7</v>
      </c>
      <c r="M73" s="2">
        <v>6.8</v>
      </c>
      <c r="N73" s="2">
        <v>0</v>
      </c>
      <c r="O73" s="3">
        <v>1</v>
      </c>
      <c r="P73" s="3">
        <v>0.96399999999999997</v>
      </c>
      <c r="Q73" s="3">
        <v>0.98599999999999999</v>
      </c>
      <c r="R73" s="2" t="s">
        <v>24</v>
      </c>
    </row>
    <row r="74" spans="1:18" x14ac:dyDescent="0.3">
      <c r="A74" s="1">
        <v>46185</v>
      </c>
      <c r="B74" s="2" t="s">
        <v>79</v>
      </c>
      <c r="C74" s="2" t="s">
        <v>25</v>
      </c>
      <c r="D74" s="2" t="s">
        <v>26</v>
      </c>
      <c r="E74" s="2" t="s">
        <v>21</v>
      </c>
      <c r="F74" s="2" t="s">
        <v>27</v>
      </c>
      <c r="G74" s="2">
        <v>21</v>
      </c>
      <c r="H74" s="2" t="s">
        <v>23</v>
      </c>
      <c r="I74" s="2">
        <v>10</v>
      </c>
      <c r="J74" s="2">
        <v>12</v>
      </c>
      <c r="K74" s="2">
        <v>0</v>
      </c>
      <c r="L74" s="2">
        <v>9</v>
      </c>
      <c r="M74" s="2">
        <v>9.4</v>
      </c>
      <c r="N74" s="2">
        <v>0.4</v>
      </c>
      <c r="O74" s="3">
        <v>1</v>
      </c>
      <c r="P74" s="3">
        <v>1</v>
      </c>
      <c r="Q74" s="3">
        <v>1</v>
      </c>
      <c r="R74" s="2" t="s">
        <v>24</v>
      </c>
    </row>
    <row r="75" spans="1:18" x14ac:dyDescent="0.3">
      <c r="A75" s="1">
        <v>46187</v>
      </c>
      <c r="B75" s="2" t="s">
        <v>79</v>
      </c>
      <c r="C75" s="2" t="s">
        <v>29</v>
      </c>
      <c r="D75" s="2" t="s">
        <v>30</v>
      </c>
      <c r="E75" s="2" t="s">
        <v>31</v>
      </c>
      <c r="F75" s="2" t="s">
        <v>32</v>
      </c>
      <c r="G75" s="2">
        <v>20</v>
      </c>
      <c r="H75" s="2" t="s">
        <v>23</v>
      </c>
      <c r="I75" s="2">
        <v>11</v>
      </c>
      <c r="J75" s="2">
        <v>9</v>
      </c>
      <c r="K75" s="2">
        <v>2</v>
      </c>
      <c r="L75" s="2">
        <v>9</v>
      </c>
      <c r="M75" s="2">
        <v>10.6</v>
      </c>
      <c r="N75" s="2">
        <v>1.6</v>
      </c>
      <c r="O75" s="3">
        <v>0.82099999999999995</v>
      </c>
      <c r="P75" s="3">
        <v>0.71199999999999997</v>
      </c>
      <c r="Q75" s="3">
        <v>0.77700000000000002</v>
      </c>
      <c r="R75" s="2" t="s">
        <v>50</v>
      </c>
    </row>
    <row r="76" spans="1:18" x14ac:dyDescent="0.3">
      <c r="A76" s="1">
        <v>46189</v>
      </c>
      <c r="B76" s="2" t="s">
        <v>79</v>
      </c>
      <c r="C76" s="2" t="s">
        <v>33</v>
      </c>
      <c r="D76" s="2" t="s">
        <v>34</v>
      </c>
      <c r="E76" s="2" t="s">
        <v>31</v>
      </c>
      <c r="F76" s="2" t="s">
        <v>22</v>
      </c>
      <c r="G76" s="2">
        <v>20</v>
      </c>
      <c r="H76" s="2" t="s">
        <v>23</v>
      </c>
      <c r="I76" s="2">
        <v>15</v>
      </c>
      <c r="J76" s="2">
        <v>13</v>
      </c>
      <c r="K76" s="2">
        <v>2</v>
      </c>
      <c r="L76" s="2">
        <v>8</v>
      </c>
      <c r="M76" s="2">
        <v>7.4</v>
      </c>
      <c r="N76" s="2">
        <v>0</v>
      </c>
      <c r="O76" s="3">
        <v>0.89300000000000002</v>
      </c>
      <c r="P76" s="3">
        <v>0.99</v>
      </c>
      <c r="Q76" s="3">
        <v>0.93200000000000005</v>
      </c>
      <c r="R76" s="2" t="s">
        <v>24</v>
      </c>
    </row>
    <row r="77" spans="1:18" x14ac:dyDescent="0.3">
      <c r="A77" s="1">
        <v>46193</v>
      </c>
      <c r="B77" s="2" t="s">
        <v>79</v>
      </c>
      <c r="C77" s="2" t="s">
        <v>39</v>
      </c>
      <c r="D77" s="2" t="s">
        <v>40</v>
      </c>
      <c r="E77" s="2" t="s">
        <v>37</v>
      </c>
      <c r="F77" s="2" t="s">
        <v>27</v>
      </c>
      <c r="G77" s="2">
        <v>21</v>
      </c>
      <c r="H77" s="2" t="s">
        <v>46</v>
      </c>
      <c r="I77" s="2">
        <v>15</v>
      </c>
      <c r="J77" s="2">
        <v>13</v>
      </c>
      <c r="K77" s="2">
        <v>2</v>
      </c>
      <c r="L77" s="2">
        <v>9</v>
      </c>
      <c r="M77" s="2">
        <v>8.4</v>
      </c>
      <c r="N77" s="2">
        <v>0</v>
      </c>
      <c r="O77" s="3">
        <v>0.92500000000000004</v>
      </c>
      <c r="P77" s="3">
        <v>0.90400000000000003</v>
      </c>
      <c r="Q77" s="3">
        <v>0.91700000000000004</v>
      </c>
      <c r="R77" s="2" t="s">
        <v>24</v>
      </c>
    </row>
    <row r="78" spans="1:18" x14ac:dyDescent="0.3">
      <c r="A78" s="1">
        <v>46195</v>
      </c>
      <c r="B78" s="2" t="s">
        <v>79</v>
      </c>
      <c r="C78" s="2" t="s">
        <v>41</v>
      </c>
      <c r="D78" s="2" t="s">
        <v>42</v>
      </c>
      <c r="E78" s="2" t="s">
        <v>43</v>
      </c>
      <c r="F78" s="2" t="s">
        <v>32</v>
      </c>
      <c r="G78" s="2">
        <v>20</v>
      </c>
      <c r="H78" s="2" t="s">
        <v>28</v>
      </c>
      <c r="I78" s="2">
        <v>12</v>
      </c>
      <c r="J78" s="2">
        <v>15</v>
      </c>
      <c r="K78" s="2">
        <v>0</v>
      </c>
      <c r="L78" s="2">
        <v>9</v>
      </c>
      <c r="M78" s="2">
        <v>10</v>
      </c>
      <c r="N78" s="2">
        <v>1</v>
      </c>
      <c r="O78" s="3">
        <v>1</v>
      </c>
      <c r="P78" s="3">
        <v>0.93300000000000005</v>
      </c>
      <c r="Q78" s="3">
        <v>0.97299999999999998</v>
      </c>
      <c r="R78" s="2" t="s">
        <v>24</v>
      </c>
    </row>
    <row r="79" spans="1:18" x14ac:dyDescent="0.3">
      <c r="A79" s="1">
        <v>46197</v>
      </c>
      <c r="B79" s="2" t="s">
        <v>79</v>
      </c>
      <c r="C79" s="2" t="s">
        <v>44</v>
      </c>
      <c r="D79" s="2" t="s">
        <v>45</v>
      </c>
      <c r="E79" s="2" t="s">
        <v>43</v>
      </c>
      <c r="F79" s="2" t="s">
        <v>22</v>
      </c>
      <c r="G79" s="2">
        <v>21</v>
      </c>
      <c r="H79" s="2" t="s">
        <v>23</v>
      </c>
      <c r="I79" s="2">
        <v>19</v>
      </c>
      <c r="J79" s="2">
        <v>18</v>
      </c>
      <c r="K79" s="2">
        <v>1</v>
      </c>
      <c r="L79" s="2">
        <v>7</v>
      </c>
      <c r="M79" s="2">
        <v>7.4</v>
      </c>
      <c r="N79" s="2">
        <v>0.4</v>
      </c>
      <c r="O79" s="3">
        <v>0.91100000000000003</v>
      </c>
      <c r="P79" s="3">
        <v>0.86099999999999999</v>
      </c>
      <c r="Q79" s="3">
        <v>0.89100000000000001</v>
      </c>
      <c r="R79" s="2" t="s">
        <v>50</v>
      </c>
    </row>
    <row r="80" spans="1:18" x14ac:dyDescent="0.3">
      <c r="A80" s="1">
        <v>46199</v>
      </c>
      <c r="B80" s="2" t="s">
        <v>79</v>
      </c>
      <c r="C80" s="2" t="s">
        <v>47</v>
      </c>
      <c r="D80" s="2" t="s">
        <v>48</v>
      </c>
      <c r="E80" s="2" t="s">
        <v>49</v>
      </c>
      <c r="F80" s="2" t="s">
        <v>38</v>
      </c>
      <c r="G80" s="2">
        <v>22</v>
      </c>
      <c r="H80" s="2" t="s">
        <v>23</v>
      </c>
      <c r="I80" s="2">
        <v>10</v>
      </c>
      <c r="J80" s="2">
        <v>8</v>
      </c>
      <c r="K80" s="2">
        <v>2</v>
      </c>
      <c r="L80" s="2">
        <v>7</v>
      </c>
      <c r="M80" s="2">
        <v>6.4</v>
      </c>
      <c r="N80" s="2">
        <v>0</v>
      </c>
      <c r="O80" s="3">
        <v>0.78100000000000003</v>
      </c>
      <c r="P80" s="3">
        <v>0.69499999999999995</v>
      </c>
      <c r="Q80" s="3">
        <v>0.747</v>
      </c>
      <c r="R80" s="2" t="s">
        <v>74</v>
      </c>
    </row>
    <row r="81" spans="1:18" x14ac:dyDescent="0.3">
      <c r="A81" s="1">
        <v>46201</v>
      </c>
      <c r="B81" s="2" t="s">
        <v>79</v>
      </c>
      <c r="C81" s="2" t="s">
        <v>51</v>
      </c>
      <c r="D81" s="2" t="s">
        <v>52</v>
      </c>
      <c r="E81" s="2" t="s">
        <v>49</v>
      </c>
      <c r="F81" s="2" t="s">
        <v>32</v>
      </c>
      <c r="G81" s="2">
        <v>20</v>
      </c>
      <c r="H81" s="2" t="s">
        <v>23</v>
      </c>
      <c r="I81" s="2">
        <v>14</v>
      </c>
      <c r="J81" s="2">
        <v>14</v>
      </c>
      <c r="K81" s="2">
        <v>0</v>
      </c>
      <c r="L81" s="2">
        <v>8</v>
      </c>
      <c r="M81" s="2">
        <v>8.6</v>
      </c>
      <c r="N81" s="2">
        <v>0.6</v>
      </c>
      <c r="O81" s="3">
        <v>1</v>
      </c>
      <c r="P81" s="3">
        <v>0.97099999999999997</v>
      </c>
      <c r="Q81" s="3">
        <v>0.98799999999999999</v>
      </c>
      <c r="R81" s="2" t="s">
        <v>24</v>
      </c>
    </row>
    <row r="82" spans="1:18" x14ac:dyDescent="0.3">
      <c r="A82" s="1">
        <v>46203</v>
      </c>
      <c r="B82" s="2" t="s">
        <v>79</v>
      </c>
      <c r="C82" s="2" t="s">
        <v>72</v>
      </c>
      <c r="D82" s="2" t="s">
        <v>73</v>
      </c>
      <c r="E82" s="2" t="s">
        <v>55</v>
      </c>
      <c r="F82" s="2" t="s">
        <v>27</v>
      </c>
      <c r="G82" s="2">
        <v>20</v>
      </c>
      <c r="H82" s="2" t="s">
        <v>23</v>
      </c>
      <c r="I82" s="2">
        <v>14</v>
      </c>
      <c r="J82" s="2">
        <v>17</v>
      </c>
      <c r="K82" s="2">
        <v>0</v>
      </c>
      <c r="L82" s="2">
        <v>9</v>
      </c>
      <c r="M82" s="2">
        <v>9.1</v>
      </c>
      <c r="N82" s="2">
        <v>0.1</v>
      </c>
      <c r="O82" s="3">
        <v>1</v>
      </c>
      <c r="P82" s="3">
        <v>0.88400000000000001</v>
      </c>
      <c r="Q82" s="3">
        <v>0.95399999999999996</v>
      </c>
      <c r="R82" s="2" t="s">
        <v>24</v>
      </c>
    </row>
    <row r="83" spans="1:18" x14ac:dyDescent="0.3">
      <c r="A83" s="1">
        <v>46205</v>
      </c>
      <c r="B83" s="2" t="s">
        <v>80</v>
      </c>
      <c r="C83" s="2" t="s">
        <v>53</v>
      </c>
      <c r="D83" s="2" t="s">
        <v>54</v>
      </c>
      <c r="E83" s="2" t="s">
        <v>55</v>
      </c>
      <c r="F83" s="2" t="s">
        <v>22</v>
      </c>
      <c r="G83" s="2">
        <v>22</v>
      </c>
      <c r="H83" s="2" t="s">
        <v>23</v>
      </c>
      <c r="I83" s="2">
        <v>15</v>
      </c>
      <c r="J83" s="2">
        <v>12</v>
      </c>
      <c r="K83" s="2">
        <v>3</v>
      </c>
      <c r="L83" s="2">
        <v>8</v>
      </c>
      <c r="M83" s="2">
        <v>9.1</v>
      </c>
      <c r="N83" s="2">
        <v>1.1000000000000001</v>
      </c>
      <c r="O83" s="3">
        <v>0.76800000000000002</v>
      </c>
      <c r="P83" s="3">
        <v>0.73399999999999999</v>
      </c>
      <c r="Q83" s="3">
        <v>0.754</v>
      </c>
      <c r="R83" s="2" t="s">
        <v>50</v>
      </c>
    </row>
    <row r="84" spans="1:18" x14ac:dyDescent="0.3">
      <c r="A84" s="1">
        <v>46209</v>
      </c>
      <c r="B84" s="2" t="s">
        <v>80</v>
      </c>
      <c r="C84" s="2" t="s">
        <v>58</v>
      </c>
      <c r="D84" s="2" t="s">
        <v>59</v>
      </c>
      <c r="E84" s="2" t="s">
        <v>31</v>
      </c>
      <c r="F84" s="2" t="s">
        <v>27</v>
      </c>
      <c r="G84" s="2">
        <v>21</v>
      </c>
      <c r="H84" s="2" t="s">
        <v>23</v>
      </c>
      <c r="I84" s="2">
        <v>12</v>
      </c>
      <c r="J84" s="2">
        <v>12</v>
      </c>
      <c r="K84" s="2">
        <v>0</v>
      </c>
      <c r="L84" s="2">
        <v>8</v>
      </c>
      <c r="M84" s="2">
        <v>7.6</v>
      </c>
      <c r="N84" s="2">
        <v>0</v>
      </c>
      <c r="O84" s="3">
        <v>0.92500000000000004</v>
      </c>
      <c r="P84" s="3">
        <v>0.879</v>
      </c>
      <c r="Q84" s="3">
        <v>0.90700000000000003</v>
      </c>
      <c r="R84" s="2" t="s">
        <v>24</v>
      </c>
    </row>
    <row r="85" spans="1:18" x14ac:dyDescent="0.3">
      <c r="A85" s="1">
        <v>46211</v>
      </c>
      <c r="B85" s="2" t="s">
        <v>80</v>
      </c>
      <c r="C85" s="2" t="s">
        <v>60</v>
      </c>
      <c r="D85" s="2" t="s">
        <v>61</v>
      </c>
      <c r="E85" s="2" t="s">
        <v>37</v>
      </c>
      <c r="F85" s="2" t="s">
        <v>32</v>
      </c>
      <c r="G85" s="2">
        <v>22</v>
      </c>
      <c r="H85" s="2" t="s">
        <v>23</v>
      </c>
      <c r="I85" s="2">
        <v>19</v>
      </c>
      <c r="J85" s="2">
        <v>17</v>
      </c>
      <c r="K85" s="2">
        <v>2</v>
      </c>
      <c r="L85" s="2">
        <v>8</v>
      </c>
      <c r="M85" s="2">
        <v>7.6</v>
      </c>
      <c r="N85" s="2">
        <v>0</v>
      </c>
      <c r="O85" s="3">
        <v>0.96199999999999997</v>
      </c>
      <c r="P85" s="3">
        <v>1</v>
      </c>
      <c r="Q85" s="3">
        <v>0.97699999999999998</v>
      </c>
      <c r="R85" s="2" t="s">
        <v>24</v>
      </c>
    </row>
    <row r="86" spans="1:18" x14ac:dyDescent="0.3">
      <c r="A86" s="1">
        <v>46213</v>
      </c>
      <c r="B86" s="2" t="s">
        <v>80</v>
      </c>
      <c r="C86" s="2" t="s">
        <v>62</v>
      </c>
      <c r="D86" s="2" t="s">
        <v>63</v>
      </c>
      <c r="E86" s="2" t="s">
        <v>43</v>
      </c>
      <c r="F86" s="2" t="s">
        <v>38</v>
      </c>
      <c r="G86" s="2">
        <v>22</v>
      </c>
      <c r="H86" s="2" t="s">
        <v>23</v>
      </c>
      <c r="I86" s="2">
        <v>14</v>
      </c>
      <c r="J86" s="2">
        <v>15</v>
      </c>
      <c r="K86" s="2">
        <v>30</v>
      </c>
      <c r="L86" s="2">
        <v>9</v>
      </c>
      <c r="M86" s="2">
        <v>7.4</v>
      </c>
      <c r="N86" s="2">
        <v>0</v>
      </c>
      <c r="O86" s="3">
        <v>1</v>
      </c>
      <c r="P86" s="3">
        <v>0.89800000000000002</v>
      </c>
      <c r="Q86" s="3">
        <v>0.95899999999999996</v>
      </c>
      <c r="R86" s="2" t="s">
        <v>24</v>
      </c>
    </row>
    <row r="87" spans="1:18" x14ac:dyDescent="0.3">
      <c r="A87" s="1">
        <v>46215</v>
      </c>
      <c r="B87" s="2" t="s">
        <v>80</v>
      </c>
      <c r="C87" s="2" t="s">
        <v>65</v>
      </c>
      <c r="D87" s="2" t="s">
        <v>66</v>
      </c>
      <c r="E87" s="2" t="s">
        <v>49</v>
      </c>
      <c r="F87" s="2" t="s">
        <v>22</v>
      </c>
      <c r="G87" s="2">
        <v>21</v>
      </c>
      <c r="H87" s="2" t="s">
        <v>23</v>
      </c>
      <c r="I87" s="2">
        <v>15</v>
      </c>
      <c r="J87" s="2">
        <v>13</v>
      </c>
      <c r="K87" s="2">
        <v>2</v>
      </c>
      <c r="L87" s="2">
        <v>7</v>
      </c>
      <c r="M87" s="2">
        <v>7.3</v>
      </c>
      <c r="N87" s="2">
        <v>0.3</v>
      </c>
      <c r="O87" s="3">
        <v>0.82799999999999996</v>
      </c>
      <c r="P87" s="3">
        <v>0.78</v>
      </c>
      <c r="Q87" s="3">
        <v>0.80900000000000005</v>
      </c>
      <c r="R87" s="2" t="s">
        <v>50</v>
      </c>
    </row>
    <row r="88" spans="1:18" x14ac:dyDescent="0.3">
      <c r="A88" s="1">
        <v>46217</v>
      </c>
      <c r="B88" s="2" t="s">
        <v>80</v>
      </c>
      <c r="C88" s="2" t="s">
        <v>67</v>
      </c>
      <c r="D88" s="2" t="s">
        <v>68</v>
      </c>
      <c r="E88" s="2" t="s">
        <v>55</v>
      </c>
      <c r="F88" s="2" t="s">
        <v>32</v>
      </c>
      <c r="G88" s="2">
        <v>21</v>
      </c>
      <c r="H88" s="2" t="s">
        <v>23</v>
      </c>
      <c r="I88" s="2">
        <v>13</v>
      </c>
      <c r="J88" s="2">
        <v>16</v>
      </c>
      <c r="K88" s="2">
        <v>0</v>
      </c>
      <c r="L88" s="2">
        <v>8</v>
      </c>
      <c r="M88" s="2">
        <v>8.3000000000000007</v>
      </c>
      <c r="N88" s="2">
        <v>0.3</v>
      </c>
      <c r="O88" s="3">
        <v>1</v>
      </c>
      <c r="P88" s="3">
        <v>1</v>
      </c>
      <c r="Q88" s="3">
        <v>1</v>
      </c>
      <c r="R88" s="2" t="s">
        <v>24</v>
      </c>
    </row>
    <row r="89" spans="1:18" x14ac:dyDescent="0.3">
      <c r="A89" s="1">
        <v>46219</v>
      </c>
      <c r="B89" s="2" t="s">
        <v>80</v>
      </c>
      <c r="C89" s="2" t="s">
        <v>76</v>
      </c>
      <c r="D89" s="2" t="s">
        <v>77</v>
      </c>
      <c r="E89" s="2" t="s">
        <v>21</v>
      </c>
      <c r="F89" s="2" t="s">
        <v>27</v>
      </c>
      <c r="G89" s="2">
        <v>21</v>
      </c>
      <c r="H89" s="2" t="s">
        <v>23</v>
      </c>
      <c r="I89" s="2">
        <v>9</v>
      </c>
      <c r="J89" s="2">
        <v>9</v>
      </c>
      <c r="K89" s="2">
        <v>0</v>
      </c>
      <c r="L89" s="2">
        <v>7</v>
      </c>
      <c r="M89" s="2">
        <v>7</v>
      </c>
      <c r="N89" s="2">
        <v>0</v>
      </c>
      <c r="O89" s="3">
        <v>1</v>
      </c>
      <c r="P89" s="3">
        <v>0.89100000000000001</v>
      </c>
      <c r="Q89" s="3">
        <v>0.95599999999999996</v>
      </c>
      <c r="R89" s="2" t="s">
        <v>24</v>
      </c>
    </row>
    <row r="90" spans="1:18" x14ac:dyDescent="0.3">
      <c r="A90" s="4">
        <v>46221</v>
      </c>
      <c r="B90" s="5" t="s">
        <v>80</v>
      </c>
      <c r="C90" s="5" t="s">
        <v>69</v>
      </c>
      <c r="D90" s="5" t="s">
        <v>70</v>
      </c>
      <c r="E90" s="5" t="s">
        <v>31</v>
      </c>
      <c r="F90" s="5" t="s">
        <v>38</v>
      </c>
      <c r="G90" s="5">
        <v>21</v>
      </c>
      <c r="H90" s="5" t="s">
        <v>23</v>
      </c>
      <c r="I90" s="5">
        <v>18</v>
      </c>
      <c r="J90" s="5">
        <v>15</v>
      </c>
      <c r="K90" s="5">
        <v>3</v>
      </c>
      <c r="L90" s="5">
        <v>9</v>
      </c>
      <c r="M90" s="5">
        <v>8.6999999999999993</v>
      </c>
      <c r="N90" s="5">
        <v>0</v>
      </c>
      <c r="O90" s="6">
        <v>0.76</v>
      </c>
      <c r="P90" s="6">
        <v>0.64700000000000002</v>
      </c>
      <c r="Q90" s="6">
        <v>0.71499999999999997</v>
      </c>
      <c r="R90" s="5" t="s">
        <v>74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Sunil Prajapati</cp:lastModifiedBy>
  <dcterms:created xsi:type="dcterms:W3CDTF">2026-09-09T09:25:33Z</dcterms:created>
  <dcterms:modified xsi:type="dcterms:W3CDTF">2026-09-16T06:12:56Z</dcterms:modified>
</cp:coreProperties>
</file>